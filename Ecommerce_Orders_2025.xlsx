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922af556b0391340/Desktop/Excel for data analyt/Ecommerce/"/>
    </mc:Choice>
  </mc:AlternateContent>
  <xr:revisionPtr revIDLastSave="218" documentId="11_F25DC773A252ABDACC104821515E5DF85BDE58E5" xr6:coauthVersionLast="47" xr6:coauthVersionMax="47" xr10:uidLastSave="{1DFDBBA7-1060-45FE-BF68-3625FDD0FE48}"/>
  <bookViews>
    <workbookView xWindow="-108" yWindow="-108" windowWidth="23256" windowHeight="12456" activeTab="1" xr2:uid="{00000000-000D-0000-FFFF-FFFF00000000}"/>
  </bookViews>
  <sheets>
    <sheet name="Orders" sheetId="1" r:id="rId1"/>
    <sheet name="Day12_Analysis" sheetId="2" r:id="rId2"/>
  </sheet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E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D2" i="2"/>
  <c r="C2" i="2"/>
  <c r="A2" i="2"/>
</calcChain>
</file>

<file path=xl/sharedStrings.xml><?xml version="1.0" encoding="utf-8"?>
<sst xmlns="http://schemas.openxmlformats.org/spreadsheetml/2006/main" count="6034" uniqueCount="2016">
  <si>
    <t>Order ID</t>
  </si>
  <si>
    <t>Order Date</t>
  </si>
  <si>
    <t>Customer ID</t>
  </si>
  <si>
    <t>Customer Name</t>
  </si>
  <si>
    <t>Segment</t>
  </si>
  <si>
    <t>Product category</t>
  </si>
  <si>
    <t>Product Name</t>
  </si>
  <si>
    <t>Quantity</t>
  </si>
  <si>
    <t>Unit Price</t>
  </si>
  <si>
    <t xml:space="preserve"> Total Sales</t>
  </si>
  <si>
    <t>ORD001</t>
  </si>
  <si>
    <t>ORD002</t>
  </si>
  <si>
    <t>ORD003</t>
  </si>
  <si>
    <t>ORD004</t>
  </si>
  <si>
    <t>ORD005</t>
  </si>
  <si>
    <t>ORD006</t>
  </si>
  <si>
    <t>ORD007</t>
  </si>
  <si>
    <t>ORD008</t>
  </si>
  <si>
    <t>ORD009</t>
  </si>
  <si>
    <t>ORD010</t>
  </si>
  <si>
    <t>ORD011</t>
  </si>
  <si>
    <t>ORD012</t>
  </si>
  <si>
    <t>ORD013</t>
  </si>
  <si>
    <t>ORD014</t>
  </si>
  <si>
    <t>ORD015</t>
  </si>
  <si>
    <t>ORD016</t>
  </si>
  <si>
    <t>ORD017</t>
  </si>
  <si>
    <t>ORD018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</si>
  <si>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</si>
  <si>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</si>
  <si>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</si>
  <si>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</si>
  <si>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</si>
  <si>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</si>
  <si>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</si>
  <si>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</si>
  <si>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</si>
  <si>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</si>
  <si>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</si>
  <si>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</si>
  <si>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</si>
  <si>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</si>
  <si>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</si>
  <si>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</si>
  <si>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</si>
  <si>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</si>
  <si>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</si>
  <si>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</si>
  <si>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</si>
  <si>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</si>
  <si>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</si>
  <si>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</si>
  <si>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</si>
  <si>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</si>
  <si>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</si>
  <si>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</si>
  <si>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</si>
  <si>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</si>
  <si>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</si>
  <si>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</si>
  <si>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</si>
  <si>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</si>
  <si>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</si>
  <si>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</si>
  <si>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</si>
  <si>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</si>
  <si>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</si>
  <si>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</si>
  <si>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</si>
  <si>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</si>
  <si>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</si>
  <si>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</si>
  <si>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</si>
  <si>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</si>
  <si>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</si>
  <si>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</si>
  <si>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</si>
  <si>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</si>
  <si>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</si>
  <si>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</si>
  <si>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</si>
  <si>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</si>
  <si>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</si>
  <si>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</si>
  <si>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</si>
  <si>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</si>
  <si>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</si>
  <si>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</si>
  <si>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</si>
  <si>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</si>
  <si>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</si>
  <si>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</si>
  <si>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</si>
  <si>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</si>
  <si>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</si>
  <si>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</si>
  <si>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</si>
  <si>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</si>
  <si>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</si>
  <si>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</si>
  <si>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</si>
  <si>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</si>
  <si>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</si>
  <si>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</si>
  <si>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</si>
  <si>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</si>
  <si>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</si>
  <si>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</si>
  <si>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</si>
  <si>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</si>
  <si>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</si>
  <si>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ORD102</t>
  </si>
  <si>
    <t>ORD103</t>
  </si>
  <si>
    <t>ORD104</t>
  </si>
  <si>
    <t>ORD105</t>
  </si>
  <si>
    <t>ORD106</t>
  </si>
  <si>
    <t>ORD107</t>
  </si>
  <si>
    <t>ORD108</t>
  </si>
  <si>
    <t>ORD109</t>
  </si>
  <si>
    <t>ORD110</t>
  </si>
  <si>
    <t>ORD111</t>
  </si>
  <si>
    <t>ORD112</t>
  </si>
  <si>
    <t>ORD113</t>
  </si>
  <si>
    <t>ORD114</t>
  </si>
  <si>
    <t>ORD115</t>
  </si>
  <si>
    <t>ORD116</t>
  </si>
  <si>
    <t>ORD117</t>
  </si>
  <si>
    <t>ORD118</t>
  </si>
  <si>
    <t>ORD119</t>
  </si>
  <si>
    <t>ORD120</t>
  </si>
  <si>
    <t>ORD121</t>
  </si>
  <si>
    <t>ORD122</t>
  </si>
  <si>
    <t>ORD123</t>
  </si>
  <si>
    <t>ORD124</t>
  </si>
  <si>
    <t>ORD125</t>
  </si>
  <si>
    <t>ORD126</t>
  </si>
  <si>
    <t>ORD127</t>
  </si>
  <si>
    <t>ORD128</t>
  </si>
  <si>
    <t>ORD129</t>
  </si>
  <si>
    <t>ORD130</t>
  </si>
  <si>
    <t>ORD131</t>
  </si>
  <si>
    <t>ORD132</t>
  </si>
  <si>
    <t>ORD133</t>
  </si>
  <si>
    <t>ORD134</t>
  </si>
  <si>
    <t>ORD135</t>
  </si>
  <si>
    <t>ORD136</t>
  </si>
  <si>
    <t>ORD137</t>
  </si>
  <si>
    <t>ORD138</t>
  </si>
  <si>
    <t>ORD139</t>
  </si>
  <si>
    <t>ORD140</t>
  </si>
  <si>
    <t>ORD141</t>
  </si>
  <si>
    <t>ORD142</t>
  </si>
  <si>
    <t>ORD143</t>
  </si>
  <si>
    <t>ORD144</t>
  </si>
  <si>
    <t>ORD145</t>
  </si>
  <si>
    <t>ORD146</t>
  </si>
  <si>
    <t>ORD147</t>
  </si>
  <si>
    <t>ORD148</t>
  </si>
  <si>
    <t>ORD149</t>
  </si>
  <si>
    <t>ORD150</t>
  </si>
  <si>
    <t>ORD151</t>
  </si>
  <si>
    <t>ORD152</t>
  </si>
  <si>
    <t>ORD153</t>
  </si>
  <si>
    <t>ORD154</t>
  </si>
  <si>
    <t>ORD155</t>
  </si>
  <si>
    <t>ORD156</t>
  </si>
  <si>
    <t>ORD157</t>
  </si>
  <si>
    <t>ORD158</t>
  </si>
  <si>
    <t>ORD159</t>
  </si>
  <si>
    <t>ORD160</t>
  </si>
  <si>
    <t>ORD161</t>
  </si>
  <si>
    <t>ORD162</t>
  </si>
  <si>
    <t>ORD163</t>
  </si>
  <si>
    <t>ORD164</t>
  </si>
  <si>
    <t>ORD165</t>
  </si>
  <si>
    <t>ORD166</t>
  </si>
  <si>
    <t>ORD167</t>
  </si>
  <si>
    <t>ORD168</t>
  </si>
  <si>
    <t>ORD169</t>
  </si>
  <si>
    <t>ORD170</t>
  </si>
  <si>
    <t>ORD171</t>
  </si>
  <si>
    <t>ORD172</t>
  </si>
  <si>
    <t>ORD173</t>
  </si>
  <si>
    <t>ORD174</t>
  </si>
  <si>
    <t>ORD175</t>
  </si>
  <si>
    <t>ORD176</t>
  </si>
  <si>
    <t>ORD177</t>
  </si>
  <si>
    <t>ORD178</t>
  </si>
  <si>
    <t>ORD179</t>
  </si>
  <si>
    <t>ORD180</t>
  </si>
  <si>
    <t>ORD181</t>
  </si>
  <si>
    <t>ORD182</t>
  </si>
  <si>
    <t>ORD183</t>
  </si>
  <si>
    <t>ORD184</t>
  </si>
  <si>
    <t>ORD185</t>
  </si>
  <si>
    <t>ORD186</t>
  </si>
  <si>
    <t>ORD187</t>
  </si>
  <si>
    <t>ORD188</t>
  </si>
  <si>
    <t>ORD189</t>
  </si>
  <si>
    <t>ORD190</t>
  </si>
  <si>
    <t>ORD191</t>
  </si>
  <si>
    <t>ORD192</t>
  </si>
  <si>
    <t>ORD193</t>
  </si>
  <si>
    <t>ORD194</t>
  </si>
  <si>
    <t>ORD195</t>
  </si>
  <si>
    <t>ORD196</t>
  </si>
  <si>
    <t>ORD197</t>
  </si>
  <si>
    <t>ORD198</t>
  </si>
  <si>
    <t>ORD199</t>
  </si>
  <si>
    <t>ORD200</t>
  </si>
  <si>
    <t>ORD201</t>
  </si>
  <si>
    <t>ORD202</t>
  </si>
  <si>
    <t>ORD203</t>
  </si>
  <si>
    <t>ORD204</t>
  </si>
  <si>
    <t>ORD205</t>
  </si>
  <si>
    <t>ORD206</t>
  </si>
  <si>
    <t>ORD207</t>
  </si>
  <si>
    <t>ORD208</t>
  </si>
  <si>
    <t>ORD209</t>
  </si>
  <si>
    <t>ORD210</t>
  </si>
  <si>
    <t>ORD211</t>
  </si>
  <si>
    <t>ORD212</t>
  </si>
  <si>
    <t>ORD213</t>
  </si>
  <si>
    <t>ORD214</t>
  </si>
  <si>
    <t>ORD215</t>
  </si>
  <si>
    <t>ORD216</t>
  </si>
  <si>
    <t>ORD217</t>
  </si>
  <si>
    <t>ORD218</t>
  </si>
  <si>
    <t>ORD219</t>
  </si>
  <si>
    <t>ORD220</t>
  </si>
  <si>
    <t>ORD221</t>
  </si>
  <si>
    <t>ORD222</t>
  </si>
  <si>
    <t>ORD223</t>
  </si>
  <si>
    <t>ORD224</t>
  </si>
  <si>
    <t>ORD225</t>
  </si>
  <si>
    <t>ORD226</t>
  </si>
  <si>
    <t>ORD227</t>
  </si>
  <si>
    <t>ORD228</t>
  </si>
  <si>
    <t>ORD229</t>
  </si>
  <si>
    <t>ORD230</t>
  </si>
  <si>
    <t>ORD231</t>
  </si>
  <si>
    <t>ORD232</t>
  </si>
  <si>
    <t>ORD233</t>
  </si>
  <si>
    <t>ORD234</t>
  </si>
  <si>
    <t>ORD235</t>
  </si>
  <si>
    <t>ORD236</t>
  </si>
  <si>
    <t>ORD237</t>
  </si>
  <si>
    <t>ORD238</t>
  </si>
  <si>
    <t>ORD239</t>
  </si>
  <si>
    <t>ORD240</t>
  </si>
  <si>
    <t>ORD241</t>
  </si>
  <si>
    <t>ORD242</t>
  </si>
  <si>
    <t>ORD243</t>
  </si>
  <si>
    <t>ORD244</t>
  </si>
  <si>
    <t>ORD245</t>
  </si>
  <si>
    <t>ORD246</t>
  </si>
  <si>
    <t>ORD247</t>
  </si>
  <si>
    <t>ORD248</t>
  </si>
  <si>
    <t>ORD249</t>
  </si>
  <si>
    <t>ORD250</t>
  </si>
  <si>
    <t>ORD251</t>
  </si>
  <si>
    <t>ORD252</t>
  </si>
  <si>
    <t>ORD253</t>
  </si>
  <si>
    <t>ORD254</t>
  </si>
  <si>
    <t>ORD255</t>
  </si>
  <si>
    <t>ORD256</t>
  </si>
  <si>
    <t>ORD257</t>
  </si>
  <si>
    <t>ORD258</t>
  </si>
  <si>
    <t>ORD259</t>
  </si>
  <si>
    <t>ORD260</t>
  </si>
  <si>
    <t>ORD261</t>
  </si>
  <si>
    <t>ORD262</t>
  </si>
  <si>
    <t>ORD263</t>
  </si>
  <si>
    <t>ORD264</t>
  </si>
  <si>
    <t>ORD265</t>
  </si>
  <si>
    <t>ORD266</t>
  </si>
  <si>
    <t>ORD267</t>
  </si>
  <si>
    <t>ORD268</t>
  </si>
  <si>
    <t>ORD269</t>
  </si>
  <si>
    <t>ORD270</t>
  </si>
  <si>
    <t>ORD271</t>
  </si>
  <si>
    <t>ORD272</t>
  </si>
  <si>
    <t>ORD273</t>
  </si>
  <si>
    <t>ORD274</t>
  </si>
  <si>
    <t>ORD275</t>
  </si>
  <si>
    <t>ORD276</t>
  </si>
  <si>
    <t>ORD277</t>
  </si>
  <si>
    <t>ORD278</t>
  </si>
  <si>
    <t>ORD279</t>
  </si>
  <si>
    <t>ORD280</t>
  </si>
  <si>
    <t>ORD281</t>
  </si>
  <si>
    <t>ORD282</t>
  </si>
  <si>
    <t>ORD283</t>
  </si>
  <si>
    <t>ORD284</t>
  </si>
  <si>
    <t>ORD285</t>
  </si>
  <si>
    <t>ORD286</t>
  </si>
  <si>
    <t>ORD287</t>
  </si>
  <si>
    <t>ORD288</t>
  </si>
  <si>
    <t>ORD289</t>
  </si>
  <si>
    <t>ORD290</t>
  </si>
  <si>
    <t>ORD291</t>
  </si>
  <si>
    <t>ORD292</t>
  </si>
  <si>
    <t>ORD293</t>
  </si>
  <si>
    <t>ORD294</t>
  </si>
  <si>
    <t>ORD295</t>
  </si>
  <si>
    <t>ORD296</t>
  </si>
  <si>
    <t>ORD297</t>
  </si>
  <si>
    <t>ORD298</t>
  </si>
  <si>
    <t>ORD299</t>
  </si>
  <si>
    <t>ORD300</t>
  </si>
  <si>
    <t>ORD301</t>
  </si>
  <si>
    <t>ORD302</t>
  </si>
  <si>
    <t>ORD303</t>
  </si>
  <si>
    <t>ORD304</t>
  </si>
  <si>
    <t>ORD305</t>
  </si>
  <si>
    <t>ORD306</t>
  </si>
  <si>
    <t>ORD307</t>
  </si>
  <si>
    <t>ORD308</t>
  </si>
  <si>
    <t>ORD309</t>
  </si>
  <si>
    <t>ORD310</t>
  </si>
  <si>
    <t>ORD311</t>
  </si>
  <si>
    <t>ORD312</t>
  </si>
  <si>
    <t>ORD313</t>
  </si>
  <si>
    <t>ORD314</t>
  </si>
  <si>
    <t>ORD315</t>
  </si>
  <si>
    <t>ORD316</t>
  </si>
  <si>
    <t>ORD317</t>
  </si>
  <si>
    <t>ORD318</t>
  </si>
  <si>
    <t>ORD319</t>
  </si>
  <si>
    <t>ORD320</t>
  </si>
  <si>
    <t>ORD321</t>
  </si>
  <si>
    <t>ORD322</t>
  </si>
  <si>
    <t>ORD323</t>
  </si>
  <si>
    <t>ORD324</t>
  </si>
  <si>
    <t>ORD325</t>
  </si>
  <si>
    <t>ORD326</t>
  </si>
  <si>
    <t>ORD327</t>
  </si>
  <si>
    <t>ORD328</t>
  </si>
  <si>
    <t>ORD329</t>
  </si>
  <si>
    <t>ORD330</t>
  </si>
  <si>
    <t>ORD331</t>
  </si>
  <si>
    <t>ORD332</t>
  </si>
  <si>
    <t>ORD333</t>
  </si>
  <si>
    <t>ORD334</t>
  </si>
  <si>
    <t>ORD335</t>
  </si>
  <si>
    <t>ORD336</t>
  </si>
  <si>
    <t>ORD337</t>
  </si>
  <si>
    <t>ORD338</t>
  </si>
  <si>
    <t>ORD339</t>
  </si>
  <si>
    <t>ORD340</t>
  </si>
  <si>
    <t>ORD341</t>
  </si>
  <si>
    <t>ORD342</t>
  </si>
  <si>
    <t>ORD343</t>
  </si>
  <si>
    <t>ORD344</t>
  </si>
  <si>
    <t>ORD345</t>
  </si>
  <si>
    <t>ORD346</t>
  </si>
  <si>
    <t>ORD347</t>
  </si>
  <si>
    <t>ORD348</t>
  </si>
  <si>
    <t>ORD349</t>
  </si>
  <si>
    <t>ORD350</t>
  </si>
  <si>
    <t>ORD351</t>
  </si>
  <si>
    <t>ORD352</t>
  </si>
  <si>
    <t>ORD353</t>
  </si>
  <si>
    <t>ORD354</t>
  </si>
  <si>
    <t>ORD355</t>
  </si>
  <si>
    <t>ORD356</t>
  </si>
  <si>
    <t>ORD357</t>
  </si>
  <si>
    <t>ORD358</t>
  </si>
  <si>
    <t>ORD359</t>
  </si>
  <si>
    <t>ORD360</t>
  </si>
  <si>
    <t>ORD361</t>
  </si>
  <si>
    <t>ORD362</t>
  </si>
  <si>
    <t>ORD363</t>
  </si>
  <si>
    <t>ORD364</t>
  </si>
  <si>
    <t>ORD365</t>
  </si>
  <si>
    <t>ORD366</t>
  </si>
  <si>
    <t>ORD367</t>
  </si>
  <si>
    <t>ORD368</t>
  </si>
  <si>
    <t>ORD369</t>
  </si>
  <si>
    <t>ORD370</t>
  </si>
  <si>
    <t>ORD371</t>
  </si>
  <si>
    <t>ORD372</t>
  </si>
  <si>
    <t>ORD373</t>
  </si>
  <si>
    <t>ORD374</t>
  </si>
  <si>
    <t>ORD375</t>
  </si>
  <si>
    <t>ORD376</t>
  </si>
  <si>
    <t>ORD377</t>
  </si>
  <si>
    <t>ORD378</t>
  </si>
  <si>
    <t>ORD379</t>
  </si>
  <si>
    <t>ORD380</t>
  </si>
  <si>
    <t>ORD381</t>
  </si>
  <si>
    <t>ORD382</t>
  </si>
  <si>
    <t>ORD383</t>
  </si>
  <si>
    <t>ORD384</t>
  </si>
  <si>
    <t>ORD385</t>
  </si>
  <si>
    <t>ORD386</t>
  </si>
  <si>
    <t>ORD387</t>
  </si>
  <si>
    <t>ORD388</t>
  </si>
  <si>
    <t>ORD389</t>
  </si>
  <si>
    <t>ORD390</t>
  </si>
  <si>
    <t>ORD391</t>
  </si>
  <si>
    <t>ORD392</t>
  </si>
  <si>
    <t>ORD393</t>
  </si>
  <si>
    <t>ORD394</t>
  </si>
  <si>
    <t>ORD395</t>
  </si>
  <si>
    <t>ORD396</t>
  </si>
  <si>
    <t>ORD397</t>
  </si>
  <si>
    <t>ORD398</t>
  </si>
  <si>
    <t>ORD399</t>
  </si>
  <si>
    <t>ORD400</t>
  </si>
  <si>
    <t>ORD401</t>
  </si>
  <si>
    <t>ORD402</t>
  </si>
  <si>
    <t>ORD403</t>
  </si>
  <si>
    <t>ORD404</t>
  </si>
  <si>
    <t>ORD405</t>
  </si>
  <si>
    <t>ORD406</t>
  </si>
  <si>
    <t>ORD407</t>
  </si>
  <si>
    <t>ORD408</t>
  </si>
  <si>
    <t>ORD409</t>
  </si>
  <si>
    <t>ORD410</t>
  </si>
  <si>
    <t>ORD411</t>
  </si>
  <si>
    <t>ORD412</t>
  </si>
  <si>
    <t>ORD413</t>
  </si>
  <si>
    <t>ORD414</t>
  </si>
  <si>
    <t>ORD415</t>
  </si>
  <si>
    <t>ORD416</t>
  </si>
  <si>
    <t>ORD417</t>
  </si>
  <si>
    <t>ORD418</t>
  </si>
  <si>
    <t>ORD419</t>
  </si>
  <si>
    <t>ORD420</t>
  </si>
  <si>
    <t>ORD421</t>
  </si>
  <si>
    <t>ORD422</t>
  </si>
  <si>
    <t>ORD423</t>
  </si>
  <si>
    <t>ORD424</t>
  </si>
  <si>
    <t>ORD425</t>
  </si>
  <si>
    <t>ORD426</t>
  </si>
  <si>
    <t>ORD427</t>
  </si>
  <si>
    <t>ORD428</t>
  </si>
  <si>
    <t>ORD429</t>
  </si>
  <si>
    <t>ORD430</t>
  </si>
  <si>
    <t>ORD431</t>
  </si>
  <si>
    <t>ORD432</t>
  </si>
  <si>
    <t>ORD433</t>
  </si>
  <si>
    <t>ORD434</t>
  </si>
  <si>
    <t>ORD435</t>
  </si>
  <si>
    <t>ORD436</t>
  </si>
  <si>
    <t>ORD437</t>
  </si>
  <si>
    <t>ORD438</t>
  </si>
  <si>
    <t>ORD439</t>
  </si>
  <si>
    <t>ORD440</t>
  </si>
  <si>
    <t>ORD441</t>
  </si>
  <si>
    <t>ORD442</t>
  </si>
  <si>
    <t>ORD443</t>
  </si>
  <si>
    <t>ORD444</t>
  </si>
  <si>
    <t>ORD445</t>
  </si>
  <si>
    <t>ORD446</t>
  </si>
  <si>
    <t>ORD447</t>
  </si>
  <si>
    <t>ORD448</t>
  </si>
  <si>
    <t>ORD449</t>
  </si>
  <si>
    <t>ORD450</t>
  </si>
  <si>
    <t>ORD451</t>
  </si>
  <si>
    <t>ORD452</t>
  </si>
  <si>
    <t>ORD453</t>
  </si>
  <si>
    <t>ORD454</t>
  </si>
  <si>
    <t>ORD455</t>
  </si>
  <si>
    <t>ORD456</t>
  </si>
  <si>
    <t>ORD457</t>
  </si>
  <si>
    <t>ORD458</t>
  </si>
  <si>
    <t>ORD459</t>
  </si>
  <si>
    <t>ORD460</t>
  </si>
  <si>
    <t>ORD461</t>
  </si>
  <si>
    <t>ORD462</t>
  </si>
  <si>
    <t>ORD463</t>
  </si>
  <si>
    <t>ORD464</t>
  </si>
  <si>
    <t>ORD465</t>
  </si>
  <si>
    <t>ORD466</t>
  </si>
  <si>
    <t>ORD467</t>
  </si>
  <si>
    <t>ORD468</t>
  </si>
  <si>
    <t>ORD469</t>
  </si>
  <si>
    <t>ORD470</t>
  </si>
  <si>
    <t>ORD471</t>
  </si>
  <si>
    <t>ORD472</t>
  </si>
  <si>
    <t>ORD473</t>
  </si>
  <si>
    <t>ORD474</t>
  </si>
  <si>
    <t>ORD475</t>
  </si>
  <si>
    <t>ORD476</t>
  </si>
  <si>
    <t>ORD477</t>
  </si>
  <si>
    <t>ORD478</t>
  </si>
  <si>
    <t>ORD479</t>
  </si>
  <si>
    <t>ORD480</t>
  </si>
  <si>
    <t>ORD481</t>
  </si>
  <si>
    <t>ORD482</t>
  </si>
  <si>
    <t>ORD483</t>
  </si>
  <si>
    <t>ORD484</t>
  </si>
  <si>
    <t>ORD485</t>
  </si>
  <si>
    <t>ORD486</t>
  </si>
  <si>
    <t>ORD487</t>
  </si>
  <si>
    <t>ORD488</t>
  </si>
  <si>
    <t>ORD489</t>
  </si>
  <si>
    <t>ORD490</t>
  </si>
  <si>
    <t>ORD491</t>
  </si>
  <si>
    <t>ORD492</t>
  </si>
  <si>
    <t>ORD493</t>
  </si>
  <si>
    <t>ORD494</t>
  </si>
  <si>
    <t>ORD495</t>
  </si>
  <si>
    <t>ORD496</t>
  </si>
  <si>
    <t>ORD497</t>
  </si>
  <si>
    <t>ORD498</t>
  </si>
  <si>
    <t>ORD499</t>
  </si>
  <si>
    <t>ORD500</t>
  </si>
  <si>
    <t>ORD501</t>
  </si>
  <si>
    <t>ORD502</t>
  </si>
  <si>
    <t>ORD503</t>
  </si>
  <si>
    <t>ORD504</t>
  </si>
  <si>
    <t>ORD505</t>
  </si>
  <si>
    <t>ORD506</t>
  </si>
  <si>
    <t>ORD507</t>
  </si>
  <si>
    <t>ORD508</t>
  </si>
  <si>
    <t>ORD509</t>
  </si>
  <si>
    <t>ORD510</t>
  </si>
  <si>
    <t>ORD511</t>
  </si>
  <si>
    <t>ORD512</t>
  </si>
  <si>
    <t>ORD513</t>
  </si>
  <si>
    <t>ORD514</t>
  </si>
  <si>
    <t>ORD515</t>
  </si>
  <si>
    <t>ORD516</t>
  </si>
  <si>
    <t>ORD517</t>
  </si>
  <si>
    <t>ORD518</t>
  </si>
  <si>
    <t>ORD519</t>
  </si>
  <si>
    <t>ORD520</t>
  </si>
  <si>
    <t>ORD521</t>
  </si>
  <si>
    <t>ORD522</t>
  </si>
  <si>
    <t>ORD523</t>
  </si>
  <si>
    <t>ORD524</t>
  </si>
  <si>
    <t>ORD525</t>
  </si>
  <si>
    <t>ORD526</t>
  </si>
  <si>
    <t>ORD527</t>
  </si>
  <si>
    <t>ORD528</t>
  </si>
  <si>
    <t>ORD529</t>
  </si>
  <si>
    <t>ORD530</t>
  </si>
  <si>
    <t>ORD531</t>
  </si>
  <si>
    <t>ORD532</t>
  </si>
  <si>
    <t>ORD533</t>
  </si>
  <si>
    <t>ORD534</t>
  </si>
  <si>
    <t>ORD535</t>
  </si>
  <si>
    <t>ORD536</t>
  </si>
  <si>
    <t>ORD537</t>
  </si>
  <si>
    <t>ORD538</t>
  </si>
  <si>
    <t>ORD539</t>
  </si>
  <si>
    <t>ORD540</t>
  </si>
  <si>
    <t>ORD541</t>
  </si>
  <si>
    <t>ORD542</t>
  </si>
  <si>
    <t>ORD543</t>
  </si>
  <si>
    <t>ORD544</t>
  </si>
  <si>
    <t>ORD545</t>
  </si>
  <si>
    <t>ORD546</t>
  </si>
  <si>
    <t>ORD547</t>
  </si>
  <si>
    <t>ORD548</t>
  </si>
  <si>
    <t>ORD549</t>
  </si>
  <si>
    <t>ORD550</t>
  </si>
  <si>
    <t>ORD551</t>
  </si>
  <si>
    <t>ORD552</t>
  </si>
  <si>
    <t>ORD553</t>
  </si>
  <si>
    <t>ORD554</t>
  </si>
  <si>
    <t>ORD555</t>
  </si>
  <si>
    <t>ORD556</t>
  </si>
  <si>
    <t>ORD557</t>
  </si>
  <si>
    <t>ORD558</t>
  </si>
  <si>
    <t>ORD559</t>
  </si>
  <si>
    <t>ORD560</t>
  </si>
  <si>
    <t>ORD561</t>
  </si>
  <si>
    <t>ORD562</t>
  </si>
  <si>
    <t>ORD563</t>
  </si>
  <si>
    <t>ORD564</t>
  </si>
  <si>
    <t>ORD565</t>
  </si>
  <si>
    <t>ORD566</t>
  </si>
  <si>
    <t>ORD567</t>
  </si>
  <si>
    <t>ORD568</t>
  </si>
  <si>
    <t>ORD569</t>
  </si>
  <si>
    <t>ORD570</t>
  </si>
  <si>
    <t>ORD571</t>
  </si>
  <si>
    <t>ORD572</t>
  </si>
  <si>
    <t>ORD573</t>
  </si>
  <si>
    <t>ORD574</t>
  </si>
  <si>
    <t>ORD575</t>
  </si>
  <si>
    <t>ORD576</t>
  </si>
  <si>
    <t>ORD577</t>
  </si>
  <si>
    <t>ORD578</t>
  </si>
  <si>
    <t>ORD579</t>
  </si>
  <si>
    <t>ORD580</t>
  </si>
  <si>
    <t>ORD581</t>
  </si>
  <si>
    <t>ORD582</t>
  </si>
  <si>
    <t>ORD583</t>
  </si>
  <si>
    <t>ORD584</t>
  </si>
  <si>
    <t>ORD585</t>
  </si>
  <si>
    <t>ORD586</t>
  </si>
  <si>
    <t>ORD587</t>
  </si>
  <si>
    <t>ORD588</t>
  </si>
  <si>
    <t>ORD589</t>
  </si>
  <si>
    <t>ORD590</t>
  </si>
  <si>
    <t>ORD591</t>
  </si>
  <si>
    <t>ORD592</t>
  </si>
  <si>
    <t>ORD593</t>
  </si>
  <si>
    <t>ORD594</t>
  </si>
  <si>
    <t>ORD595</t>
  </si>
  <si>
    <t>ORD596</t>
  </si>
  <si>
    <t>ORD597</t>
  </si>
  <si>
    <t>ORD598</t>
  </si>
  <si>
    <t>ORD599</t>
  </si>
  <si>
    <t>ORD600</t>
  </si>
  <si>
    <t>ORD601</t>
  </si>
  <si>
    <t>ORD602</t>
  </si>
  <si>
    <t>ORD603</t>
  </si>
  <si>
    <t>ORD604</t>
  </si>
  <si>
    <t>ORD605</t>
  </si>
  <si>
    <t>ORD606</t>
  </si>
  <si>
    <t>ORD607</t>
  </si>
  <si>
    <t>ORD608</t>
  </si>
  <si>
    <t>ORD609</t>
  </si>
  <si>
    <t>ORD610</t>
  </si>
  <si>
    <t>ORD611</t>
  </si>
  <si>
    <t>ORD612</t>
  </si>
  <si>
    <t>ORD613</t>
  </si>
  <si>
    <t>ORD614</t>
  </si>
  <si>
    <t>ORD615</t>
  </si>
  <si>
    <t>ORD616</t>
  </si>
  <si>
    <t>ORD617</t>
  </si>
  <si>
    <t>ORD618</t>
  </si>
  <si>
    <t>ORD619</t>
  </si>
  <si>
    <t>ORD620</t>
  </si>
  <si>
    <t>ORD621</t>
  </si>
  <si>
    <t>ORD622</t>
  </si>
  <si>
    <t>ORD623</t>
  </si>
  <si>
    <t>ORD624</t>
  </si>
  <si>
    <t>ORD625</t>
  </si>
  <si>
    <t>ORD626</t>
  </si>
  <si>
    <t>ORD627</t>
  </si>
  <si>
    <t>ORD628</t>
  </si>
  <si>
    <t>ORD629</t>
  </si>
  <si>
    <t>ORD630</t>
  </si>
  <si>
    <t>ORD631</t>
  </si>
  <si>
    <t>ORD632</t>
  </si>
  <si>
    <t>ORD633</t>
  </si>
  <si>
    <t>ORD634</t>
  </si>
  <si>
    <t>ORD635</t>
  </si>
  <si>
    <t>ORD636</t>
  </si>
  <si>
    <t>ORD637</t>
  </si>
  <si>
    <t>ORD638</t>
  </si>
  <si>
    <t>ORD639</t>
  </si>
  <si>
    <t>ORD640</t>
  </si>
  <si>
    <t>ORD641</t>
  </si>
  <si>
    <t>ORD642</t>
  </si>
  <si>
    <t>ORD643</t>
  </si>
  <si>
    <t>ORD644</t>
  </si>
  <si>
    <t>ORD645</t>
  </si>
  <si>
    <t>ORD646</t>
  </si>
  <si>
    <t>ORD647</t>
  </si>
  <si>
    <t>ORD648</t>
  </si>
  <si>
    <t>ORD649</t>
  </si>
  <si>
    <t>ORD650</t>
  </si>
  <si>
    <t>ORD651</t>
  </si>
  <si>
    <t>ORD652</t>
  </si>
  <si>
    <t>ORD653</t>
  </si>
  <si>
    <t>ORD654</t>
  </si>
  <si>
    <t>ORD655</t>
  </si>
  <si>
    <t>ORD656</t>
  </si>
  <si>
    <t>ORD657</t>
  </si>
  <si>
    <t>ORD658</t>
  </si>
  <si>
    <t>ORD659</t>
  </si>
  <si>
    <t>ORD660</t>
  </si>
  <si>
    <t>ORD661</t>
  </si>
  <si>
    <t>ORD662</t>
  </si>
  <si>
    <t>ORD663</t>
  </si>
  <si>
    <t>ORD664</t>
  </si>
  <si>
    <t>ORD665</t>
  </si>
  <si>
    <t>ORD666</t>
  </si>
  <si>
    <t>ORD667</t>
  </si>
  <si>
    <t>ORD668</t>
  </si>
  <si>
    <t>ORD669</t>
  </si>
  <si>
    <t>ORD670</t>
  </si>
  <si>
    <t>ORD671</t>
  </si>
  <si>
    <t>ORD672</t>
  </si>
  <si>
    <t>ORD673</t>
  </si>
  <si>
    <t>ORD674</t>
  </si>
  <si>
    <t>ORD675</t>
  </si>
  <si>
    <t>ORD676</t>
  </si>
  <si>
    <t>ORD677</t>
  </si>
  <si>
    <t>ORD678</t>
  </si>
  <si>
    <t>ORD679</t>
  </si>
  <si>
    <t>ORD680</t>
  </si>
  <si>
    <t>ORD681</t>
  </si>
  <si>
    <t>ORD682</t>
  </si>
  <si>
    <t>ORD683</t>
  </si>
  <si>
    <t>ORD684</t>
  </si>
  <si>
    <t>ORD685</t>
  </si>
  <si>
    <t>ORD686</t>
  </si>
  <si>
    <t>ORD687</t>
  </si>
  <si>
    <t>ORD688</t>
  </si>
  <si>
    <t>ORD689</t>
  </si>
  <si>
    <t>ORD690</t>
  </si>
  <si>
    <t>ORD691</t>
  </si>
  <si>
    <t>ORD692</t>
  </si>
  <si>
    <t>ORD693</t>
  </si>
  <si>
    <t>ORD694</t>
  </si>
  <si>
    <t>ORD695</t>
  </si>
  <si>
    <t>ORD696</t>
  </si>
  <si>
    <t>ORD697</t>
  </si>
  <si>
    <t>ORD698</t>
  </si>
  <si>
    <t>ORD699</t>
  </si>
  <si>
    <t>ORD700</t>
  </si>
  <si>
    <t>ORD701</t>
  </si>
  <si>
    <t>ORD702</t>
  </si>
  <si>
    <t>ORD703</t>
  </si>
  <si>
    <t>ORD704</t>
  </si>
  <si>
    <t>ORD705</t>
  </si>
  <si>
    <t>ORD706</t>
  </si>
  <si>
    <t>ORD707</t>
  </si>
  <si>
    <t>ORD708</t>
  </si>
  <si>
    <t>ORD709</t>
  </si>
  <si>
    <t>ORD710</t>
  </si>
  <si>
    <t>ORD711</t>
  </si>
  <si>
    <t>ORD712</t>
  </si>
  <si>
    <t>ORD713</t>
  </si>
  <si>
    <t>ORD714</t>
  </si>
  <si>
    <t>ORD715</t>
  </si>
  <si>
    <t>ORD716</t>
  </si>
  <si>
    <t>ORD717</t>
  </si>
  <si>
    <t>ORD718</t>
  </si>
  <si>
    <t>ORD719</t>
  </si>
  <si>
    <t>ORD720</t>
  </si>
  <si>
    <t>ORD721</t>
  </si>
  <si>
    <t>ORD722</t>
  </si>
  <si>
    <t>ORD723</t>
  </si>
  <si>
    <t>ORD724</t>
  </si>
  <si>
    <t>ORD725</t>
  </si>
  <si>
    <t>ORD726</t>
  </si>
  <si>
    <t>ORD727</t>
  </si>
  <si>
    <t>ORD728</t>
  </si>
  <si>
    <t>ORD729</t>
  </si>
  <si>
    <t>ORD730</t>
  </si>
  <si>
    <t>ORD731</t>
  </si>
  <si>
    <t>ORD732</t>
  </si>
  <si>
    <t>ORD733</t>
  </si>
  <si>
    <t>ORD734</t>
  </si>
  <si>
    <t>ORD735</t>
  </si>
  <si>
    <t>ORD736</t>
  </si>
  <si>
    <t>ORD737</t>
  </si>
  <si>
    <t>ORD738</t>
  </si>
  <si>
    <t>ORD739</t>
  </si>
  <si>
    <t>ORD740</t>
  </si>
  <si>
    <t>ORD741</t>
  </si>
  <si>
    <t>ORD742</t>
  </si>
  <si>
    <t>ORD743</t>
  </si>
  <si>
    <t>ORD744</t>
  </si>
  <si>
    <t>ORD745</t>
  </si>
  <si>
    <t>ORD746</t>
  </si>
  <si>
    <t>ORD747</t>
  </si>
  <si>
    <t>ORD748</t>
  </si>
  <si>
    <t>ORD749</t>
  </si>
  <si>
    <t>ORD750</t>
  </si>
  <si>
    <t>ORD751</t>
  </si>
  <si>
    <t>ORD752</t>
  </si>
  <si>
    <t>ORD753</t>
  </si>
  <si>
    <t>ORD754</t>
  </si>
  <si>
    <t>ORD755</t>
  </si>
  <si>
    <t>ORD756</t>
  </si>
  <si>
    <t>ORD757</t>
  </si>
  <si>
    <t>ORD758</t>
  </si>
  <si>
    <t>ORD759</t>
  </si>
  <si>
    <t>ORD760</t>
  </si>
  <si>
    <t>ORD761</t>
  </si>
  <si>
    <t>ORD762</t>
  </si>
  <si>
    <t>ORD763</t>
  </si>
  <si>
    <t>ORD764</t>
  </si>
  <si>
    <t>ORD765</t>
  </si>
  <si>
    <t>ORD766</t>
  </si>
  <si>
    <t>ORD767</t>
  </si>
  <si>
    <t>ORD768</t>
  </si>
  <si>
    <t>ORD769</t>
  </si>
  <si>
    <t>ORD770</t>
  </si>
  <si>
    <t>ORD771</t>
  </si>
  <si>
    <t>ORD772</t>
  </si>
  <si>
    <t>ORD773</t>
  </si>
  <si>
    <t>ORD774</t>
  </si>
  <si>
    <t>ORD775</t>
  </si>
  <si>
    <t>ORD776</t>
  </si>
  <si>
    <t>ORD777</t>
  </si>
  <si>
    <t>ORD778</t>
  </si>
  <si>
    <t>ORD779</t>
  </si>
  <si>
    <t>ORD780</t>
  </si>
  <si>
    <t>ORD781</t>
  </si>
  <si>
    <t>ORD782</t>
  </si>
  <si>
    <t>ORD783</t>
  </si>
  <si>
    <t>ORD784</t>
  </si>
  <si>
    <t>ORD785</t>
  </si>
  <si>
    <t>ORD786</t>
  </si>
  <si>
    <t>ORD787</t>
  </si>
  <si>
    <t>ORD788</t>
  </si>
  <si>
    <t>ORD789</t>
  </si>
  <si>
    <t>ORD790</t>
  </si>
  <si>
    <t>ORD791</t>
  </si>
  <si>
    <t>ORD792</t>
  </si>
  <si>
    <t>ORD793</t>
  </si>
  <si>
    <t>ORD794</t>
  </si>
  <si>
    <t>ORD795</t>
  </si>
  <si>
    <t>ORD796</t>
  </si>
  <si>
    <t>ORD797</t>
  </si>
  <si>
    <t>ORD798</t>
  </si>
  <si>
    <t>ORD799</t>
  </si>
  <si>
    <t>ORD800</t>
  </si>
  <si>
    <t>ORD801</t>
  </si>
  <si>
    <t>ORD802</t>
  </si>
  <si>
    <t>ORD803</t>
  </si>
  <si>
    <t>ORD804</t>
  </si>
  <si>
    <t>ORD805</t>
  </si>
  <si>
    <t>ORD806</t>
  </si>
  <si>
    <t>ORD807</t>
  </si>
  <si>
    <t>ORD808</t>
  </si>
  <si>
    <t>ORD809</t>
  </si>
  <si>
    <t>ORD810</t>
  </si>
  <si>
    <t>ORD811</t>
  </si>
  <si>
    <t>ORD812</t>
  </si>
  <si>
    <t>ORD813</t>
  </si>
  <si>
    <t>ORD814</t>
  </si>
  <si>
    <t>ORD815</t>
  </si>
  <si>
    <t>ORD816</t>
  </si>
  <si>
    <t>ORD817</t>
  </si>
  <si>
    <t>ORD818</t>
  </si>
  <si>
    <t>ORD819</t>
  </si>
  <si>
    <t>ORD820</t>
  </si>
  <si>
    <t>ORD821</t>
  </si>
  <si>
    <t>ORD822</t>
  </si>
  <si>
    <t>ORD823</t>
  </si>
  <si>
    <t>ORD824</t>
  </si>
  <si>
    <t>ORD825</t>
  </si>
  <si>
    <t>ORD826</t>
  </si>
  <si>
    <t>ORD827</t>
  </si>
  <si>
    <t>ORD828</t>
  </si>
  <si>
    <t>ORD829</t>
  </si>
  <si>
    <t>ORD830</t>
  </si>
  <si>
    <t>ORD831</t>
  </si>
  <si>
    <t>ORD832</t>
  </si>
  <si>
    <t>ORD833</t>
  </si>
  <si>
    <t>ORD834</t>
  </si>
  <si>
    <t>ORD835</t>
  </si>
  <si>
    <t>ORD836</t>
  </si>
  <si>
    <t>ORD837</t>
  </si>
  <si>
    <t>ORD838</t>
  </si>
  <si>
    <t>ORD839</t>
  </si>
  <si>
    <t>ORD840</t>
  </si>
  <si>
    <t>ORD841</t>
  </si>
  <si>
    <t>ORD842</t>
  </si>
  <si>
    <t>ORD843</t>
  </si>
  <si>
    <t>ORD844</t>
  </si>
  <si>
    <t>ORD845</t>
  </si>
  <si>
    <t>ORD846</t>
  </si>
  <si>
    <t>ORD847</t>
  </si>
  <si>
    <t>ORD848</t>
  </si>
  <si>
    <t>ORD849</t>
  </si>
  <si>
    <t>ORD850</t>
  </si>
  <si>
    <t>ORD851</t>
  </si>
  <si>
    <t>ORD852</t>
  </si>
  <si>
    <t>ORD853</t>
  </si>
  <si>
    <t>ORD854</t>
  </si>
  <si>
    <t>ORD855</t>
  </si>
  <si>
    <t>ORD856</t>
  </si>
  <si>
    <t>ORD857</t>
  </si>
  <si>
    <t>ORD858</t>
  </si>
  <si>
    <t>ORD859</t>
  </si>
  <si>
    <t>ORD860</t>
  </si>
  <si>
    <t>ORD861</t>
  </si>
  <si>
    <t>ORD862</t>
  </si>
  <si>
    <t>ORD863</t>
  </si>
  <si>
    <t>ORD864</t>
  </si>
  <si>
    <t>ORD865</t>
  </si>
  <si>
    <t>ORD866</t>
  </si>
  <si>
    <t>ORD867</t>
  </si>
  <si>
    <t>ORD868</t>
  </si>
  <si>
    <t>ORD869</t>
  </si>
  <si>
    <t>ORD870</t>
  </si>
  <si>
    <t>ORD871</t>
  </si>
  <si>
    <t>ORD872</t>
  </si>
  <si>
    <t>ORD873</t>
  </si>
  <si>
    <t>ORD874</t>
  </si>
  <si>
    <t>ORD875</t>
  </si>
  <si>
    <t>ORD876</t>
  </si>
  <si>
    <t>ORD877</t>
  </si>
  <si>
    <t>ORD878</t>
  </si>
  <si>
    <t>ORD879</t>
  </si>
  <si>
    <t>ORD880</t>
  </si>
  <si>
    <t>ORD881</t>
  </si>
  <si>
    <t>ORD882</t>
  </si>
  <si>
    <t>ORD883</t>
  </si>
  <si>
    <t>ORD884</t>
  </si>
  <si>
    <t>ORD885</t>
  </si>
  <si>
    <t>ORD886</t>
  </si>
  <si>
    <t>ORD887</t>
  </si>
  <si>
    <t>ORD888</t>
  </si>
  <si>
    <t>ORD889</t>
  </si>
  <si>
    <t>ORD890</t>
  </si>
  <si>
    <t>ORD891</t>
  </si>
  <si>
    <t>ORD892</t>
  </si>
  <si>
    <t>ORD893</t>
  </si>
  <si>
    <t>ORD894</t>
  </si>
  <si>
    <t>ORD895</t>
  </si>
  <si>
    <t>ORD896</t>
  </si>
  <si>
    <t>ORD897</t>
  </si>
  <si>
    <t>ORD898</t>
  </si>
  <si>
    <t>ORD899</t>
  </si>
  <si>
    <t>ORD900</t>
  </si>
  <si>
    <t>ORD901</t>
  </si>
  <si>
    <t>ORD902</t>
  </si>
  <si>
    <t>ORD903</t>
  </si>
  <si>
    <t>ORD904</t>
  </si>
  <si>
    <t>ORD905</t>
  </si>
  <si>
    <t>ORD906</t>
  </si>
  <si>
    <t>ORD907</t>
  </si>
  <si>
    <t>ORD908</t>
  </si>
  <si>
    <t>ORD909</t>
  </si>
  <si>
    <t>ORD910</t>
  </si>
  <si>
    <t>ORD911</t>
  </si>
  <si>
    <t>ORD912</t>
  </si>
  <si>
    <t>ORD913</t>
  </si>
  <si>
    <t>ORD914</t>
  </si>
  <si>
    <t>ORD915</t>
  </si>
  <si>
    <t>ORD916</t>
  </si>
  <si>
    <t>ORD917</t>
  </si>
  <si>
    <t>ORD918</t>
  </si>
  <si>
    <t>ORD919</t>
  </si>
  <si>
    <t>ORD920</t>
  </si>
  <si>
    <t>ORD921</t>
  </si>
  <si>
    <t>ORD922</t>
  </si>
  <si>
    <t>ORD923</t>
  </si>
  <si>
    <t>ORD924</t>
  </si>
  <si>
    <t>ORD925</t>
  </si>
  <si>
    <t>ORD926</t>
  </si>
  <si>
    <t>ORD927</t>
  </si>
  <si>
    <t>ORD928</t>
  </si>
  <si>
    <t>ORD929</t>
  </si>
  <si>
    <t>ORD930</t>
  </si>
  <si>
    <t>ORD931</t>
  </si>
  <si>
    <t>ORD932</t>
  </si>
  <si>
    <t>ORD933</t>
  </si>
  <si>
    <t>ORD934</t>
  </si>
  <si>
    <t>ORD935</t>
  </si>
  <si>
    <t>ORD936</t>
  </si>
  <si>
    <t>ORD937</t>
  </si>
  <si>
    <t>ORD938</t>
  </si>
  <si>
    <t>ORD939</t>
  </si>
  <si>
    <t>ORD940</t>
  </si>
  <si>
    <t>ORD941</t>
  </si>
  <si>
    <t>ORD942</t>
  </si>
  <si>
    <t>ORD943</t>
  </si>
  <si>
    <t>ORD944</t>
  </si>
  <si>
    <t>ORD945</t>
  </si>
  <si>
    <t>ORD946</t>
  </si>
  <si>
    <t>ORD947</t>
  </si>
  <si>
    <t>ORD948</t>
  </si>
  <si>
    <t>ORD949</t>
  </si>
  <si>
    <t>ORD950</t>
  </si>
  <si>
    <t>ORD951</t>
  </si>
  <si>
    <t>ORD952</t>
  </si>
  <si>
    <t>ORD953</t>
  </si>
  <si>
    <t>ORD954</t>
  </si>
  <si>
    <t>ORD955</t>
  </si>
  <si>
    <t>ORD956</t>
  </si>
  <si>
    <t>ORD957</t>
  </si>
  <si>
    <t>ORD958</t>
  </si>
  <si>
    <t>ORD959</t>
  </si>
  <si>
    <t>ORD960</t>
  </si>
  <si>
    <t>ORD961</t>
  </si>
  <si>
    <t>ORD962</t>
  </si>
  <si>
    <t>ORD963</t>
  </si>
  <si>
    <t>ORD964</t>
  </si>
  <si>
    <t>ORD965</t>
  </si>
  <si>
    <t>ORD966</t>
  </si>
  <si>
    <t>ORD967</t>
  </si>
  <si>
    <t>ORD968</t>
  </si>
  <si>
    <t>ORD969</t>
  </si>
  <si>
    <t>ORD970</t>
  </si>
  <si>
    <t>ORD971</t>
  </si>
  <si>
    <t>ORD972</t>
  </si>
  <si>
    <t>ORD973</t>
  </si>
  <si>
    <t>ORD974</t>
  </si>
  <si>
    <t>ORD975</t>
  </si>
  <si>
    <t>ORD976</t>
  </si>
  <si>
    <t>ORD977</t>
  </si>
  <si>
    <t>ORD978</t>
  </si>
  <si>
    <t>ORD979</t>
  </si>
  <si>
    <t>ORD980</t>
  </si>
  <si>
    <t>ORD981</t>
  </si>
  <si>
    <t>ORD982</t>
  </si>
  <si>
    <t>ORD983</t>
  </si>
  <si>
    <t>ORD984</t>
  </si>
  <si>
    <t>ORD985</t>
  </si>
  <si>
    <t>ORD986</t>
  </si>
  <si>
    <t>ORD987</t>
  </si>
  <si>
    <t>ORD988</t>
  </si>
  <si>
    <t>ORD989</t>
  </si>
  <si>
    <t>ORD990</t>
  </si>
  <si>
    <t>ORD991</t>
  </si>
  <si>
    <t>ORD992</t>
  </si>
  <si>
    <t>ORD993</t>
  </si>
  <si>
    <t>ORD994</t>
  </si>
  <si>
    <t>ORD995</t>
  </si>
  <si>
    <t>ORD996</t>
  </si>
  <si>
    <t>ORD997</t>
  </si>
  <si>
    <t>ORD998</t>
  </si>
  <si>
    <t>ORD999</t>
  </si>
  <si>
    <t>ORD1000</t>
  </si>
  <si>
    <t>CUST001</t>
  </si>
  <si>
    <t>CUST002</t>
  </si>
  <si>
    <t>CUST003</t>
  </si>
  <si>
    <t>CUST004</t>
  </si>
  <si>
    <t>CUST005</t>
  </si>
  <si>
    <t>CUST006</t>
  </si>
  <si>
    <t>CUST007</t>
  </si>
  <si>
    <t>CUST008</t>
  </si>
  <si>
    <t>CUST009</t>
  </si>
  <si>
    <t>CUST010</t>
  </si>
  <si>
    <t>CUST011</t>
  </si>
  <si>
    <t>CUST012</t>
  </si>
  <si>
    <t>CUST013</t>
  </si>
  <si>
    <t>CUST014</t>
  </si>
  <si>
    <t>CUST015</t>
  </si>
  <si>
    <t>CUST016</t>
  </si>
  <si>
    <t>CUST017</t>
  </si>
  <si>
    <t>CUST018</t>
  </si>
  <si>
    <t>CUST019</t>
  </si>
  <si>
    <t>CUST020</t>
  </si>
  <si>
    <t>CUST021</t>
  </si>
  <si>
    <t>CUST022</t>
  </si>
  <si>
    <t>CUST023</t>
  </si>
  <si>
    <t>CUST024</t>
  </si>
  <si>
    <t>CUST025</t>
  </si>
  <si>
    <t>CUST026</t>
  </si>
  <si>
    <t>CUST027</t>
  </si>
  <si>
    <t>CUST028</t>
  </si>
  <si>
    <t>CUST029</t>
  </si>
  <si>
    <t>CUST030</t>
  </si>
  <si>
    <t>CUST031</t>
  </si>
  <si>
    <t>CUST032</t>
  </si>
  <si>
    <t>CUST033</t>
  </si>
  <si>
    <t>CUST034</t>
  </si>
  <si>
    <t>CUST035</t>
  </si>
  <si>
    <t>CUST036</t>
  </si>
  <si>
    <t>CUST037</t>
  </si>
  <si>
    <t>CUST038</t>
  </si>
  <si>
    <t>CUST039</t>
  </si>
  <si>
    <t>CUST040</t>
  </si>
  <si>
    <t>CUST041</t>
  </si>
  <si>
    <t>CUST042</t>
  </si>
  <si>
    <t>CUST043</t>
  </si>
  <si>
    <t>CUST044</t>
  </si>
  <si>
    <t>CUST045</t>
  </si>
  <si>
    <t>CUST046</t>
  </si>
  <si>
    <t>CUST047</t>
  </si>
  <si>
    <t>CUST048</t>
  </si>
  <si>
    <t>CUST049</t>
  </si>
  <si>
    <t>CUST050</t>
  </si>
  <si>
    <t>CUST051</t>
  </si>
  <si>
    <t>CUST052</t>
  </si>
  <si>
    <t>CUST053</t>
  </si>
  <si>
    <t>CUST054</t>
  </si>
  <si>
    <t>CUST055</t>
  </si>
  <si>
    <t>CUST056</t>
  </si>
  <si>
    <t>CUST057</t>
  </si>
  <si>
    <t>CUST058</t>
  </si>
  <si>
    <t>CUST059</t>
  </si>
  <si>
    <t>CUST060</t>
  </si>
  <si>
    <t>CUST061</t>
  </si>
  <si>
    <t>CUST062</t>
  </si>
  <si>
    <t>CUST063</t>
  </si>
  <si>
    <t>CUST064</t>
  </si>
  <si>
    <t>CUST065</t>
  </si>
  <si>
    <t>CUST066</t>
  </si>
  <si>
    <t>CUST067</t>
  </si>
  <si>
    <t>CUST068</t>
  </si>
  <si>
    <t>CUST069</t>
  </si>
  <si>
    <t>CUST070</t>
  </si>
  <si>
    <t>CUST071</t>
  </si>
  <si>
    <t>CUST072</t>
  </si>
  <si>
    <t>CUST073</t>
  </si>
  <si>
    <t>CUST074</t>
  </si>
  <si>
    <t>CUST075</t>
  </si>
  <si>
    <t>CUST076</t>
  </si>
  <si>
    <t>CUST077</t>
  </si>
  <si>
    <t>CUST078</t>
  </si>
  <si>
    <t>CUST079</t>
  </si>
  <si>
    <t>CUST080</t>
  </si>
  <si>
    <t>CUST081</t>
  </si>
  <si>
    <t>CUST082</t>
  </si>
  <si>
    <t>CUST083</t>
  </si>
  <si>
    <t>CUST084</t>
  </si>
  <si>
    <t>CUST085</t>
  </si>
  <si>
    <t>CUST086</t>
  </si>
  <si>
    <t>CUST087</t>
  </si>
  <si>
    <t>CUST088</t>
  </si>
  <si>
    <t>CUST089</t>
  </si>
  <si>
    <t>CUST090</t>
  </si>
  <si>
    <t>CUST091</t>
  </si>
  <si>
    <t>CUST092</t>
  </si>
  <si>
    <t>CUST093</t>
  </si>
  <si>
    <t>CUST094</t>
  </si>
  <si>
    <t>CUST095</t>
  </si>
  <si>
    <t>CUST096</t>
  </si>
  <si>
    <t>CUST097</t>
  </si>
  <si>
    <t>CUST098</t>
  </si>
  <si>
    <t>CUST099</t>
  </si>
  <si>
    <t>CUST100</t>
  </si>
  <si>
    <t>CUST101</t>
  </si>
  <si>
    <t>CUST102</t>
  </si>
  <si>
    <t>CUST103</t>
  </si>
  <si>
    <t>CUST104</t>
  </si>
  <si>
    <t>CUST105</t>
  </si>
  <si>
    <t>CUST106</t>
  </si>
  <si>
    <t>CUST107</t>
  </si>
  <si>
    <t>CUST108</t>
  </si>
  <si>
    <t>CUST109</t>
  </si>
  <si>
    <t>CUST110</t>
  </si>
  <si>
    <t>CUST111</t>
  </si>
  <si>
    <t>CUST112</t>
  </si>
  <si>
    <t>CUST113</t>
  </si>
  <si>
    <t>CUST114</t>
  </si>
  <si>
    <t>CUST115</t>
  </si>
  <si>
    <t>CUST116</t>
  </si>
  <si>
    <t>CUST117</t>
  </si>
  <si>
    <t>CUST118</t>
  </si>
  <si>
    <t>CUST119</t>
  </si>
  <si>
    <t>CUST120</t>
  </si>
  <si>
    <t>CUST121</t>
  </si>
  <si>
    <t>CUST122</t>
  </si>
  <si>
    <t>CUST123</t>
  </si>
  <si>
    <t>CUST124</t>
  </si>
  <si>
    <t>CUST125</t>
  </si>
  <si>
    <t>CUST126</t>
  </si>
  <si>
    <t>CUST127</t>
  </si>
  <si>
    <t>CUST128</t>
  </si>
  <si>
    <t>CUST129</t>
  </si>
  <si>
    <t>CUST130</t>
  </si>
  <si>
    <t>CUST131</t>
  </si>
  <si>
    <t>CUST132</t>
  </si>
  <si>
    <t>CUST133</t>
  </si>
  <si>
    <t>CUST134</t>
  </si>
  <si>
    <t>CUST135</t>
  </si>
  <si>
    <t>CUST136</t>
  </si>
  <si>
    <t>CUST137</t>
  </si>
  <si>
    <t>CUST138</t>
  </si>
  <si>
    <t>CUST139</t>
  </si>
  <si>
    <t>CUST140</t>
  </si>
  <si>
    <t>CUST141</t>
  </si>
  <si>
    <t>CUST142</t>
  </si>
  <si>
    <t>CUST143</t>
  </si>
  <si>
    <t>CUST144</t>
  </si>
  <si>
    <t>CUST145</t>
  </si>
  <si>
    <t>CUST146</t>
  </si>
  <si>
    <t>CUST147</t>
  </si>
  <si>
    <t>CUST148</t>
  </si>
  <si>
    <t>CUST149</t>
  </si>
  <si>
    <t>CUST150</t>
  </si>
  <si>
    <t>CUST151</t>
  </si>
  <si>
    <t>CUST152</t>
  </si>
  <si>
    <t>CUST153</t>
  </si>
  <si>
    <t>CUST154</t>
  </si>
  <si>
    <t>CUST155</t>
  </si>
  <si>
    <t>CUST156</t>
  </si>
  <si>
    <t>CUST157</t>
  </si>
  <si>
    <t>CUST158</t>
  </si>
  <si>
    <t>CUST159</t>
  </si>
  <si>
    <t>CUST160</t>
  </si>
  <si>
    <t>CUST161</t>
  </si>
  <si>
    <t>CUST162</t>
  </si>
  <si>
    <t>CUST163</t>
  </si>
  <si>
    <t>CUST164</t>
  </si>
  <si>
    <t>CUST165</t>
  </si>
  <si>
    <t>CUST166</t>
  </si>
  <si>
    <t>CUST167</t>
  </si>
  <si>
    <t>CUST168</t>
  </si>
  <si>
    <t>CUST169</t>
  </si>
  <si>
    <t>CUST170</t>
  </si>
  <si>
    <t>CUST171</t>
  </si>
  <si>
    <t>CUST172</t>
  </si>
  <si>
    <t>CUST173</t>
  </si>
  <si>
    <t>CUST174</t>
  </si>
  <si>
    <t>CUST175</t>
  </si>
  <si>
    <t>CUST176</t>
  </si>
  <si>
    <t>CUST177</t>
  </si>
  <si>
    <t>CUST178</t>
  </si>
  <si>
    <t>CUST179</t>
  </si>
  <si>
    <t>CUST180</t>
  </si>
  <si>
    <t>CUST181</t>
  </si>
  <si>
    <t>CUST182</t>
  </si>
  <si>
    <t>CUST183</t>
  </si>
  <si>
    <t>CUST184</t>
  </si>
  <si>
    <t>CUST185</t>
  </si>
  <si>
    <t>CUST186</t>
  </si>
  <si>
    <t>CUST187</t>
  </si>
  <si>
    <t>CUST188</t>
  </si>
  <si>
    <t>CUST189</t>
  </si>
  <si>
    <t>CUST190</t>
  </si>
  <si>
    <t>CUST191</t>
  </si>
  <si>
    <t>CUST192</t>
  </si>
  <si>
    <t>CUST193</t>
  </si>
  <si>
    <t>CUST194</t>
  </si>
  <si>
    <t>CUST195</t>
  </si>
  <si>
    <t>CUST196</t>
  </si>
  <si>
    <t>CUST197</t>
  </si>
  <si>
    <t>CUST198</t>
  </si>
  <si>
    <t>CUST199</t>
  </si>
  <si>
    <t>CUST200</t>
  </si>
  <si>
    <t>CUST201</t>
  </si>
  <si>
    <t>CUST202</t>
  </si>
  <si>
    <t>CUST203</t>
  </si>
  <si>
    <t>CUST204</t>
  </si>
  <si>
    <t>CUST205</t>
  </si>
  <si>
    <t>CUST206</t>
  </si>
  <si>
    <t>CUST207</t>
  </si>
  <si>
    <t>CUST208</t>
  </si>
  <si>
    <t>CUST209</t>
  </si>
  <si>
    <t>CUST210</t>
  </si>
  <si>
    <t>CUST211</t>
  </si>
  <si>
    <t>CUST212</t>
  </si>
  <si>
    <t>CUST213</t>
  </si>
  <si>
    <t>CUST214</t>
  </si>
  <si>
    <t>CUST215</t>
  </si>
  <si>
    <t>CUST216</t>
  </si>
  <si>
    <t>CUST217</t>
  </si>
  <si>
    <t>CUST218</t>
  </si>
  <si>
    <t>CUST219</t>
  </si>
  <si>
    <t>CUST220</t>
  </si>
  <si>
    <t>CUST221</t>
  </si>
  <si>
    <t>CUST222</t>
  </si>
  <si>
    <t>CUST223</t>
  </si>
  <si>
    <t>CUST224</t>
  </si>
  <si>
    <t>CUST225</t>
  </si>
  <si>
    <t>CUST226</t>
  </si>
  <si>
    <t>CUST227</t>
  </si>
  <si>
    <t>CUST228</t>
  </si>
  <si>
    <t>CUST229</t>
  </si>
  <si>
    <t>CUST230</t>
  </si>
  <si>
    <t>CUST231</t>
  </si>
  <si>
    <t>CUST232</t>
  </si>
  <si>
    <t>CUST233</t>
  </si>
  <si>
    <t>CUST234</t>
  </si>
  <si>
    <t>CUST235</t>
  </si>
  <si>
    <t>CUST236</t>
  </si>
  <si>
    <t>CUST237</t>
  </si>
  <si>
    <t>CUST238</t>
  </si>
  <si>
    <t>CUST239</t>
  </si>
  <si>
    <t>CUST240</t>
  </si>
  <si>
    <t>CUST241</t>
  </si>
  <si>
    <t>CUST242</t>
  </si>
  <si>
    <t>CUST243</t>
  </si>
  <si>
    <t>CUST244</t>
  </si>
  <si>
    <t>CUST245</t>
  </si>
  <si>
    <t>CUST246</t>
  </si>
  <si>
    <t>CUST247</t>
  </si>
  <si>
    <t>CUST248</t>
  </si>
  <si>
    <t>CUST249</t>
  </si>
  <si>
    <t>CUST250</t>
  </si>
  <si>
    <t>CUST251</t>
  </si>
  <si>
    <t>CUST252</t>
  </si>
  <si>
    <t>CUST253</t>
  </si>
  <si>
    <t>CUST254</t>
  </si>
  <si>
    <t>CUST255</t>
  </si>
  <si>
    <t>CUST256</t>
  </si>
  <si>
    <t>CUST257</t>
  </si>
  <si>
    <t>CUST258</t>
  </si>
  <si>
    <t>CUST259</t>
  </si>
  <si>
    <t>CUST260</t>
  </si>
  <si>
    <t>CUST261</t>
  </si>
  <si>
    <t>CUST262</t>
  </si>
  <si>
    <t>CUST263</t>
  </si>
  <si>
    <t>CUST264</t>
  </si>
  <si>
    <t>CUST265</t>
  </si>
  <si>
    <t>CUST266</t>
  </si>
  <si>
    <t>CUST267</t>
  </si>
  <si>
    <t>CUST268</t>
  </si>
  <si>
    <t>CUST269</t>
  </si>
  <si>
    <t>CUST270</t>
  </si>
  <si>
    <t>CUST271</t>
  </si>
  <si>
    <t>CUST272</t>
  </si>
  <si>
    <t>CUST273</t>
  </si>
  <si>
    <t>CUST274</t>
  </si>
  <si>
    <t>CUST275</t>
  </si>
  <si>
    <t>CUST276</t>
  </si>
  <si>
    <t>CUST277</t>
  </si>
  <si>
    <t>CUST278</t>
  </si>
  <si>
    <t>CUST279</t>
  </si>
  <si>
    <t>CUST280</t>
  </si>
  <si>
    <t>CUST281</t>
  </si>
  <si>
    <t>CUST282</t>
  </si>
  <si>
    <t>CUST283</t>
  </si>
  <si>
    <t>CUST284</t>
  </si>
  <si>
    <t>CUST285</t>
  </si>
  <si>
    <t>CUST286</t>
  </si>
  <si>
    <t>CUST287</t>
  </si>
  <si>
    <t>CUST288</t>
  </si>
  <si>
    <t>CUST289</t>
  </si>
  <si>
    <t>CUST290</t>
  </si>
  <si>
    <t>CUST291</t>
  </si>
  <si>
    <t>CUST292</t>
  </si>
  <si>
    <t>CUST293</t>
  </si>
  <si>
    <t>CUST294</t>
  </si>
  <si>
    <t>CUST295</t>
  </si>
  <si>
    <t>CUST296</t>
  </si>
  <si>
    <t>CUST297</t>
  </si>
  <si>
    <t>CUST298</t>
  </si>
  <si>
    <t>CUST299</t>
  </si>
  <si>
    <t>CUST300</t>
  </si>
  <si>
    <t>CUST301</t>
  </si>
  <si>
    <t>CUST302</t>
  </si>
  <si>
    <t>CUST303</t>
  </si>
  <si>
    <t>CUST304</t>
  </si>
  <si>
    <t>CUST305</t>
  </si>
  <si>
    <t>CUST306</t>
  </si>
  <si>
    <t>CUST307</t>
  </si>
  <si>
    <t>CUST308</t>
  </si>
  <si>
    <t>CUST309</t>
  </si>
  <si>
    <t>CUST310</t>
  </si>
  <si>
    <t>CUST311</t>
  </si>
  <si>
    <t>CUST312</t>
  </si>
  <si>
    <t>CUST313</t>
  </si>
  <si>
    <t>CUST314</t>
  </si>
  <si>
    <t>CUST315</t>
  </si>
  <si>
    <t>CUST316</t>
  </si>
  <si>
    <t>CUST317</t>
  </si>
  <si>
    <t>CUST318</t>
  </si>
  <si>
    <t>CUST319</t>
  </si>
  <si>
    <t>CUST320</t>
  </si>
  <si>
    <t>CUST321</t>
  </si>
  <si>
    <t>CUST322</t>
  </si>
  <si>
    <t>CUST323</t>
  </si>
  <si>
    <t>CUST324</t>
  </si>
  <si>
    <t>CUST325</t>
  </si>
  <si>
    <t>CUST326</t>
  </si>
  <si>
    <t>CUST327</t>
  </si>
  <si>
    <t>CUST328</t>
  </si>
  <si>
    <t>CUST329</t>
  </si>
  <si>
    <t>CUST330</t>
  </si>
  <si>
    <t>CUST331</t>
  </si>
  <si>
    <t>CUST332</t>
  </si>
  <si>
    <t>CUST333</t>
  </si>
  <si>
    <t>CUST334</t>
  </si>
  <si>
    <t>CUST335</t>
  </si>
  <si>
    <t>CUST336</t>
  </si>
  <si>
    <t>CUST337</t>
  </si>
  <si>
    <t>CUST338</t>
  </si>
  <si>
    <t>CUST339</t>
  </si>
  <si>
    <t>CUST340</t>
  </si>
  <si>
    <t>CUST341</t>
  </si>
  <si>
    <t>CUST342</t>
  </si>
  <si>
    <t>CUST343</t>
  </si>
  <si>
    <t>CUST344</t>
  </si>
  <si>
    <t>CUST345</t>
  </si>
  <si>
    <t>CUST346</t>
  </si>
  <si>
    <t>CUST347</t>
  </si>
  <si>
    <t>CUST348</t>
  </si>
  <si>
    <t>CUST349</t>
  </si>
  <si>
    <t>CUST350</t>
  </si>
  <si>
    <t>CUST351</t>
  </si>
  <si>
    <t>CUST352</t>
  </si>
  <si>
    <t>CUST353</t>
  </si>
  <si>
    <t>CUST354</t>
  </si>
  <si>
    <t>CUST355</t>
  </si>
  <si>
    <t>CUST356</t>
  </si>
  <si>
    <t>CUST357</t>
  </si>
  <si>
    <t>CUST358</t>
  </si>
  <si>
    <t>CUST359</t>
  </si>
  <si>
    <t>CUST360</t>
  </si>
  <si>
    <t>CUST361</t>
  </si>
  <si>
    <t>CUST362</t>
  </si>
  <si>
    <t>CUST363</t>
  </si>
  <si>
    <t>CUST364</t>
  </si>
  <si>
    <t>CUST365</t>
  </si>
  <si>
    <t>CUST366</t>
  </si>
  <si>
    <t>CUST367</t>
  </si>
  <si>
    <t>CUST368</t>
  </si>
  <si>
    <t>CUST369</t>
  </si>
  <si>
    <t>CUST370</t>
  </si>
  <si>
    <t>CUST371</t>
  </si>
  <si>
    <t>CUST372</t>
  </si>
  <si>
    <t>CUST373</t>
  </si>
  <si>
    <t>CUST374</t>
  </si>
  <si>
    <t>CUST375</t>
  </si>
  <si>
    <t>CUST376</t>
  </si>
  <si>
    <t>CUST377</t>
  </si>
  <si>
    <t>CUST378</t>
  </si>
  <si>
    <t>CUST379</t>
  </si>
  <si>
    <t>CUST380</t>
  </si>
  <si>
    <t>CUST381</t>
  </si>
  <si>
    <t>CUST382</t>
  </si>
  <si>
    <t>CUST383</t>
  </si>
  <si>
    <t>CUST384</t>
  </si>
  <si>
    <t>CUST385</t>
  </si>
  <si>
    <t>CUST386</t>
  </si>
  <si>
    <t>CUST387</t>
  </si>
  <si>
    <t>CUST388</t>
  </si>
  <si>
    <t>CUST389</t>
  </si>
  <si>
    <t>CUST390</t>
  </si>
  <si>
    <t>CUST391</t>
  </si>
  <si>
    <t>CUST392</t>
  </si>
  <si>
    <t>CUST393</t>
  </si>
  <si>
    <t>CUST394</t>
  </si>
  <si>
    <t>CUST395</t>
  </si>
  <si>
    <t>CUST396</t>
  </si>
  <si>
    <t>CUST397</t>
  </si>
  <si>
    <t>CUST398</t>
  </si>
  <si>
    <t>CUST399</t>
  </si>
  <si>
    <t>CUST400</t>
  </si>
  <si>
    <t>CUST401</t>
  </si>
  <si>
    <t>CUST402</t>
  </si>
  <si>
    <t>CUST403</t>
  </si>
  <si>
    <t>CUST404</t>
  </si>
  <si>
    <t>CUST405</t>
  </si>
  <si>
    <t>CUST406</t>
  </si>
  <si>
    <t>CUST407</t>
  </si>
  <si>
    <t>CUST408</t>
  </si>
  <si>
    <t>CUST409</t>
  </si>
  <si>
    <t>CUST410</t>
  </si>
  <si>
    <t>CUST411</t>
  </si>
  <si>
    <t>CUST412</t>
  </si>
  <si>
    <t>CUST413</t>
  </si>
  <si>
    <t>CUST414</t>
  </si>
  <si>
    <t>CUST415</t>
  </si>
  <si>
    <t>CUST416</t>
  </si>
  <si>
    <t>CUST417</t>
  </si>
  <si>
    <t>CUST418</t>
  </si>
  <si>
    <t>CUST419</t>
  </si>
  <si>
    <t>CUST420</t>
  </si>
  <si>
    <t>CUST421</t>
  </si>
  <si>
    <t>CUST422</t>
  </si>
  <si>
    <t>CUST423</t>
  </si>
  <si>
    <t>CUST424</t>
  </si>
  <si>
    <t>CUST425</t>
  </si>
  <si>
    <t>CUST426</t>
  </si>
  <si>
    <t>CUST427</t>
  </si>
  <si>
    <t>CUST428</t>
  </si>
  <si>
    <t>CUST429</t>
  </si>
  <si>
    <t>CUST430</t>
  </si>
  <si>
    <t>CUST431</t>
  </si>
  <si>
    <t>CUST432</t>
  </si>
  <si>
    <t>CUST433</t>
  </si>
  <si>
    <t>CUST434</t>
  </si>
  <si>
    <t>CUST435</t>
  </si>
  <si>
    <t>CUST436</t>
  </si>
  <si>
    <t>CUST437</t>
  </si>
  <si>
    <t>CUST438</t>
  </si>
  <si>
    <t>CUST439</t>
  </si>
  <si>
    <t>CUST440</t>
  </si>
  <si>
    <t>CUST441</t>
  </si>
  <si>
    <t>CUST442</t>
  </si>
  <si>
    <t>CUST443</t>
  </si>
  <si>
    <t>CUST444</t>
  </si>
  <si>
    <t>CUST445</t>
  </si>
  <si>
    <t>CUST446</t>
  </si>
  <si>
    <t>CUST447</t>
  </si>
  <si>
    <t>CUST448</t>
  </si>
  <si>
    <t>CUST449</t>
  </si>
  <si>
    <t>CUST450</t>
  </si>
  <si>
    <t>CUST451</t>
  </si>
  <si>
    <t>CUST452</t>
  </si>
  <si>
    <t>CUST453</t>
  </si>
  <si>
    <t>CUST454</t>
  </si>
  <si>
    <t>CUST455</t>
  </si>
  <si>
    <t>CUST456</t>
  </si>
  <si>
    <t>CUST457</t>
  </si>
  <si>
    <t>CUST458</t>
  </si>
  <si>
    <t>CUST459</t>
  </si>
  <si>
    <t>CUST460</t>
  </si>
  <si>
    <t>CUST461</t>
  </si>
  <si>
    <t>CUST462</t>
  </si>
  <si>
    <t>CUST463</t>
  </si>
  <si>
    <t>CUST464</t>
  </si>
  <si>
    <t>CUST465</t>
  </si>
  <si>
    <t>CUST466</t>
  </si>
  <si>
    <t>CUST467</t>
  </si>
  <si>
    <t>CUST468</t>
  </si>
  <si>
    <t>CUST469</t>
  </si>
  <si>
    <t>CUST470</t>
  </si>
  <si>
    <t>CUST471</t>
  </si>
  <si>
    <t>CUST472</t>
  </si>
  <si>
    <t>CUST473</t>
  </si>
  <si>
    <t>CUST474</t>
  </si>
  <si>
    <t>CUST475</t>
  </si>
  <si>
    <t>CUST476</t>
  </si>
  <si>
    <t>CUST477</t>
  </si>
  <si>
    <t>CUST478</t>
  </si>
  <si>
    <t>CUST479</t>
  </si>
  <si>
    <t>CUST480</t>
  </si>
  <si>
    <t>CUST481</t>
  </si>
  <si>
    <t>CUST482</t>
  </si>
  <si>
    <t>CUST483</t>
  </si>
  <si>
    <t>CUST484</t>
  </si>
  <si>
    <t>CUST485</t>
  </si>
  <si>
    <t>CUST486</t>
  </si>
  <si>
    <t>CUST487</t>
  </si>
  <si>
    <t>CUST488</t>
  </si>
  <si>
    <t>CUST489</t>
  </si>
  <si>
    <t>CUST490</t>
  </si>
  <si>
    <t>CUST491</t>
  </si>
  <si>
    <t>CUST492</t>
  </si>
  <si>
    <t>CUST493</t>
  </si>
  <si>
    <t>CUST494</t>
  </si>
  <si>
    <t>CUST495</t>
  </si>
  <si>
    <t>CUST496</t>
  </si>
  <si>
    <t>CUST497</t>
  </si>
  <si>
    <t>CUST498</t>
  </si>
  <si>
    <t>CUST499</t>
  </si>
  <si>
    <t>CUST500</t>
  </si>
  <si>
    <t>Aaban</t>
  </si>
  <si>
    <t>Aabharan</t>
  </si>
  <si>
    <t>Aabhas</t>
  </si>
  <si>
    <t>Aabhat</t>
  </si>
  <si>
    <t>Aabheer</t>
  </si>
  <si>
    <t>Abheer</t>
  </si>
  <si>
    <t>Aabher</t>
  </si>
  <si>
    <t>Aabi</t>
  </si>
  <si>
    <t>Aabilesh</t>
  </si>
  <si>
    <t>Aabir</t>
  </si>
  <si>
    <t>Aabishan</t>
  </si>
  <si>
    <t>Aabishayan</t>
  </si>
  <si>
    <t>Aacharya</t>
  </si>
  <si>
    <t>Aachman</t>
  </si>
  <si>
    <t>Aachuthan</t>
  </si>
  <si>
    <t>Aadalalagan</t>
  </si>
  <si>
    <t>Aadalarasan</t>
  </si>
  <si>
    <t>Aadalazhagan</t>
  </si>
  <si>
    <t>Aadamya</t>
  </si>
  <si>
    <t>Aadanyan</t>
  </si>
  <si>
    <t>Aadarko</t>
  </si>
  <si>
    <t>Aadarsh</t>
  </si>
  <si>
    <t>Aadarshan</t>
  </si>
  <si>
    <t>Aadarshanan</t>
  </si>
  <si>
    <t>Aadav</t>
  </si>
  <si>
    <t>Aadavan</t>
  </si>
  <si>
    <t>Aadesh</t>
  </si>
  <si>
    <t>Adesh</t>
  </si>
  <si>
    <t>Aadhan</t>
  </si>
  <si>
    <t>Aadhar</t>
  </si>
  <si>
    <t>Aadhav</t>
  </si>
  <si>
    <t>Aadhavan</t>
  </si>
  <si>
    <t>Aadhi</t>
  </si>
  <si>
    <t>Aadhiban</t>
  </si>
  <si>
    <t>Aadhidev</t>
  </si>
  <si>
    <t>Aadhikeshavan</t>
  </si>
  <si>
    <t>Aadhil</t>
  </si>
  <si>
    <t>Aadhinath</t>
  </si>
  <si>
    <t>Aadhiraiyan</t>
  </si>
  <si>
    <t>Aadhiraj</t>
  </si>
  <si>
    <t>Aadhiran</t>
  </si>
  <si>
    <t>Aadhirayan</t>
  </si>
  <si>
    <t>Aadhiren</t>
  </si>
  <si>
    <t>Aadhisan</t>
  </si>
  <si>
    <t>Aadhiseshwar</t>
  </si>
  <si>
    <t>Aadhish</t>
  </si>
  <si>
    <t>Aadhishankar</t>
  </si>
  <si>
    <t>Aadhishwaran</t>
  </si>
  <si>
    <t>Aadhithan</t>
  </si>
  <si>
    <t>Aadhithiya</t>
  </si>
  <si>
    <t>Aadhithya</t>
  </si>
  <si>
    <t>Aadhithya varman</t>
  </si>
  <si>
    <t>Aadhithyaa</t>
  </si>
  <si>
    <t>Aadhityan</t>
  </si>
  <si>
    <t>Aadhiyannal</t>
  </si>
  <si>
    <t>Aadhunik</t>
  </si>
  <si>
    <t>Aadhyatm</t>
  </si>
  <si>
    <t>Aadi</t>
  </si>
  <si>
    <t>Aadidev</t>
  </si>
  <si>
    <t>Aadijay</t>
  </si>
  <si>
    <t>Aadil</t>
  </si>
  <si>
    <t>Adil</t>
  </si>
  <si>
    <t>Aadim</t>
  </si>
  <si>
    <t>Aadimoolan</t>
  </si>
  <si>
    <t>Aadinath</t>
  </si>
  <si>
    <t>Aadipta</t>
  </si>
  <si>
    <t>Aadish</t>
  </si>
  <si>
    <t>Aadishankar</t>
  </si>
  <si>
    <t>Aadit</t>
  </si>
  <si>
    <t>Aaditey</t>
  </si>
  <si>
    <t>Aaditeya</t>
  </si>
  <si>
    <t>Aadith</t>
  </si>
  <si>
    <t>Aadithya</t>
  </si>
  <si>
    <t>Aadithyakethu</t>
  </si>
  <si>
    <t>Aaditva</t>
  </si>
  <si>
    <t>Aaditya</t>
  </si>
  <si>
    <t>Aadiv</t>
  </si>
  <si>
    <t>Aadvay</t>
  </si>
  <si>
    <t>Aadvik</t>
  </si>
  <si>
    <t>Aadyant</t>
  </si>
  <si>
    <t>Aadyot</t>
  </si>
  <si>
    <t>Aafiya</t>
  </si>
  <si>
    <t>Aafreen</t>
  </si>
  <si>
    <t>Aaftab</t>
  </si>
  <si>
    <t>Aftab</t>
  </si>
  <si>
    <t>Aagash</t>
  </si>
  <si>
    <t>Aageethan</t>
  </si>
  <si>
    <t>Aaghosh</t>
  </si>
  <si>
    <t>Aagney</t>
  </si>
  <si>
    <t>Aagneya</t>
  </si>
  <si>
    <t>Aahaan</t>
  </si>
  <si>
    <t>Aahan</t>
  </si>
  <si>
    <t>Ahan</t>
  </si>
  <si>
    <t>Aahanyan</t>
  </si>
  <si>
    <t>Aaharan</t>
  </si>
  <si>
    <t>Aaharen</t>
  </si>
  <si>
    <t>Aahil</t>
  </si>
  <si>
    <t>Aahlaad</t>
  </si>
  <si>
    <t>Aahlaadith</t>
  </si>
  <si>
    <t>Aahlad</t>
  </si>
  <si>
    <t>Aahnik</t>
  </si>
  <si>
    <t>Aahva</t>
  </si>
  <si>
    <t>Aahvan</t>
  </si>
  <si>
    <t>Aahwaanith</t>
  </si>
  <si>
    <t>Aairathan</t>
  </si>
  <si>
    <t>Aaish</t>
  </si>
  <si>
    <t>Aajeevan</t>
  </si>
  <si>
    <t>Aakaar</t>
  </si>
  <si>
    <t>Aakaash</t>
  </si>
  <si>
    <t>Aakampan</t>
  </si>
  <si>
    <t>Aakanksh</t>
  </si>
  <si>
    <t>Aakar</t>
  </si>
  <si>
    <t>Aakarsh</t>
  </si>
  <si>
    <t>Aakarshak</t>
  </si>
  <si>
    <t>Aakarshan</t>
  </si>
  <si>
    <t>Aakash</t>
  </si>
  <si>
    <t>Aakashi</t>
  </si>
  <si>
    <t>Aakesh</t>
  </si>
  <si>
    <t>Aakhyaan</t>
  </si>
  <si>
    <t>Aakshat</t>
  </si>
  <si>
    <t>Aalakshya</t>
  </si>
  <si>
    <t>Aalam</t>
  </si>
  <si>
    <t>Alam</t>
  </si>
  <si>
    <t>Aalamarchelvan</t>
  </si>
  <si>
    <t>Aalamb</t>
  </si>
  <si>
    <t>Aalan</t>
  </si>
  <si>
    <t>Aalap</t>
  </si>
  <si>
    <t>Aalay</t>
  </si>
  <si>
    <t>Aalee</t>
  </si>
  <si>
    <t>Aalekh</t>
  </si>
  <si>
    <t>Aalhad</t>
  </si>
  <si>
    <t>Aalim</t>
  </si>
  <si>
    <t>Aaliyan</t>
  </si>
  <si>
    <t>Aalliyan</t>
  </si>
  <si>
    <t>Aalok</t>
  </si>
  <si>
    <t>Aalop</t>
  </si>
  <si>
    <t>Aamil</t>
  </si>
  <si>
    <t>Aamir</t>
  </si>
  <si>
    <t>Aamirah</t>
  </si>
  <si>
    <t>Aamish</t>
  </si>
  <si>
    <t>Aamod</t>
  </si>
  <si>
    <t>Aamodh</t>
  </si>
  <si>
    <t>Aamodin</t>
  </si>
  <si>
    <t>Aamogh</t>
  </si>
  <si>
    <t>Aan</t>
  </si>
  <si>
    <t>Aanand</t>
  </si>
  <si>
    <t>Aanandaswarup</t>
  </si>
  <si>
    <t>Anand Swarup</t>
  </si>
  <si>
    <t>Aanandit</t>
  </si>
  <si>
    <t>Aanandswarup</t>
  </si>
  <si>
    <t>Aananth</t>
  </si>
  <si>
    <t>Aanantya</t>
  </si>
  <si>
    <t>Aanathan</t>
  </si>
  <si>
    <t>Aanav</t>
  </si>
  <si>
    <t>Aanay</t>
  </si>
  <si>
    <t>Aandaleeb</t>
  </si>
  <si>
    <t>Aandi</t>
  </si>
  <si>
    <t>Aangat</t>
  </si>
  <si>
    <t>Aanick</t>
  </si>
  <si>
    <t>Aanjaneya</t>
  </si>
  <si>
    <t>Anjaneya</t>
  </si>
  <si>
    <t>Aanjay</t>
  </si>
  <si>
    <t>Aansh</t>
  </si>
  <si>
    <t>Aantya</t>
  </si>
  <si>
    <t>Aanush</t>
  </si>
  <si>
    <t>Aapt</t>
  </si>
  <si>
    <t>Aapu</t>
  </si>
  <si>
    <t>Aaqib</t>
  </si>
  <si>
    <t>Aaqil</t>
  </si>
  <si>
    <t>Aar</t>
  </si>
  <si>
    <t>Aaraadhak</t>
  </si>
  <si>
    <t>Araadhak</t>
  </si>
  <si>
    <t>Aradhak</t>
  </si>
  <si>
    <t>Aaradhak</t>
  </si>
  <si>
    <t>Aaradhy</t>
  </si>
  <si>
    <t>Aaran</t>
  </si>
  <si>
    <t>Aaranan</t>
  </si>
  <si>
    <t>Aaranay</t>
  </si>
  <si>
    <t>Aaranen</t>
  </si>
  <si>
    <t>Aaranyan</t>
  </si>
  <si>
    <t>Aarav</t>
  </si>
  <si>
    <t>Aaravamuthan</t>
  </si>
  <si>
    <t>Aarif</t>
  </si>
  <si>
    <t>Aariket</t>
  </si>
  <si>
    <t>Aariketh</t>
  </si>
  <si>
    <t>Aarish</t>
  </si>
  <si>
    <t>Aarit</t>
  </si>
  <si>
    <t>Aariv</t>
  </si>
  <si>
    <t>Aariz</t>
  </si>
  <si>
    <t>Aarjav</t>
  </si>
  <si>
    <t>Aarksh</t>
  </si>
  <si>
    <t>Aarnab</t>
  </si>
  <si>
    <t>Aarnav</t>
  </si>
  <si>
    <t>Aarnavi</t>
  </si>
  <si>
    <t>Aarochan</t>
  </si>
  <si>
    <t>Aaron</t>
  </si>
  <si>
    <t>Aarooran</t>
  </si>
  <si>
    <t>Aaroush</t>
  </si>
  <si>
    <t>Aarpit</t>
  </si>
  <si>
    <t>Arpit</t>
  </si>
  <si>
    <t>Aarsh</t>
  </si>
  <si>
    <t>Aarshabh</t>
  </si>
  <si>
    <t>Aarshin</t>
  </si>
  <si>
    <t>Aarth</t>
  </si>
  <si>
    <t>Aartheepan</t>
  </si>
  <si>
    <t>Aarthikan</t>
  </si>
  <si>
    <t>Aartraloon</t>
  </si>
  <si>
    <t>Aarujan</t>
  </si>
  <si>
    <t>Aarul</t>
  </si>
  <si>
    <t>Aaruran</t>
  </si>
  <si>
    <t>Aarush</t>
  </si>
  <si>
    <t>Aarushan</t>
  </si>
  <si>
    <t>Aaruthan</t>
  </si>
  <si>
    <t>Aaruthra</t>
  </si>
  <si>
    <t>Aaruthran</t>
  </si>
  <si>
    <t>Aarvalan</t>
  </si>
  <si>
    <t>Aarya</t>
  </si>
  <si>
    <t>Aaryaa</t>
  </si>
  <si>
    <t>Aaryak</t>
  </si>
  <si>
    <t>Aaryaman</t>
  </si>
  <si>
    <t>Aaryamik</t>
  </si>
  <si>
    <t>Aaryan</t>
  </si>
  <si>
    <t>Aryan</t>
  </si>
  <si>
    <t>Aaryav</t>
  </si>
  <si>
    <t>Aaryaveer</t>
  </si>
  <si>
    <t>Aaryavir</t>
  </si>
  <si>
    <t>Aaryesh</t>
  </si>
  <si>
    <t>Aaryik</t>
  </si>
  <si>
    <t>Aasav</t>
  </si>
  <si>
    <t>Aashang</t>
  </si>
  <si>
    <t>Aashank</t>
  </si>
  <si>
    <t>Aashay</t>
  </si>
  <si>
    <t>Aashif</t>
  </si>
  <si>
    <t>Aashir</t>
  </si>
  <si>
    <t>Aashirvad</t>
  </si>
  <si>
    <t>Aashish</t>
  </si>
  <si>
    <t>Ashish</t>
  </si>
  <si>
    <t>Asheesh</t>
  </si>
  <si>
    <t>Aashlesh</t>
  </si>
  <si>
    <t>Aashman</t>
  </si>
  <si>
    <t>Aashray</t>
  </si>
  <si>
    <t>Aashresh</t>
  </si>
  <si>
    <t>Aashrith</t>
  </si>
  <si>
    <t>Aashrut</t>
  </si>
  <si>
    <t>Aashu</t>
  </si>
  <si>
    <t>Aashuinat</t>
  </si>
  <si>
    <t>Aashutosh</t>
  </si>
  <si>
    <t>Aasif</t>
  </si>
  <si>
    <t>Aasim</t>
  </si>
  <si>
    <t>Aasit</t>
  </si>
  <si>
    <t>Aaslunan</t>
  </si>
  <si>
    <t>Aastha</t>
  </si>
  <si>
    <t>Aastik</t>
  </si>
  <si>
    <t>Aasvi</t>
  </si>
  <si>
    <t>Aatallan</t>
  </si>
  <si>
    <t>Aathan</t>
  </si>
  <si>
    <t>Aathangan</t>
  </si>
  <si>
    <t>Aatharan</t>
  </si>
  <si>
    <t>Aatharshan</t>
  </si>
  <si>
    <t>Aathavan</t>
  </si>
  <si>
    <t>Aathees</t>
  </si>
  <si>
    <t>Aatheesan</t>
  </si>
  <si>
    <t>Aatheesh</t>
  </si>
  <si>
    <t>Aathesh</t>
  </si>
  <si>
    <t>Aatheshan</t>
  </si>
  <si>
    <t>Aathijeyan</t>
  </si>
  <si>
    <t>Aathikan</t>
  </si>
  <si>
    <t>Aathikesan</t>
  </si>
  <si>
    <t>Aathikeyan</t>
  </si>
  <si>
    <t>Aathipan</t>
  </si>
  <si>
    <t>Aathiraiyan</t>
  </si>
  <si>
    <t>Aathiran</t>
  </si>
  <si>
    <t>Aathirayan</t>
  </si>
  <si>
    <t>Aathiruban</t>
  </si>
  <si>
    <t>Aathisekan</t>
  </si>
  <si>
    <t>Aathishaeshan</t>
  </si>
  <si>
    <t>Aathishankar</t>
  </si>
  <si>
    <t>Aathisyan</t>
  </si>
  <si>
    <t>Aathith</t>
  </si>
  <si>
    <t>Aathithan</t>
  </si>
  <si>
    <t>Aathiththyan</t>
  </si>
  <si>
    <t>Aathithyan</t>
  </si>
  <si>
    <t>Aathithyen</t>
  </si>
  <si>
    <t>Aathiyannal</t>
  </si>
  <si>
    <t>Aathrav</t>
  </si>
  <si>
    <t>Aatif</t>
  </si>
  <si>
    <t>Aatish</t>
  </si>
  <si>
    <t>Aatma</t>
  </si>
  <si>
    <t>Atma</t>
  </si>
  <si>
    <t>Atmaram</t>
  </si>
  <si>
    <t>Aatmaj</t>
  </si>
  <si>
    <t>Aatman</t>
  </si>
  <si>
    <t>Aatmanand</t>
  </si>
  <si>
    <t>Aatmaram</t>
  </si>
  <si>
    <t>Aatmay</t>
  </si>
  <si>
    <t>Aatmik</t>
  </si>
  <si>
    <t>Aatrey</t>
  </si>
  <si>
    <t>Aatreya</t>
  </si>
  <si>
    <t>Aavansh</t>
  </si>
  <si>
    <t>Aavanyan</t>
  </si>
  <si>
    <t>Aavarthan</t>
  </si>
  <si>
    <t>Aaveg</t>
  </si>
  <si>
    <t>Aavesh</t>
  </si>
  <si>
    <t>Aavi</t>
  </si>
  <si>
    <t>Aavish</t>
  </si>
  <si>
    <t>Aayam</t>
  </si>
  <si>
    <t>Aayan</t>
  </si>
  <si>
    <t>Aayansh</t>
  </si>
  <si>
    <t>Aayod</t>
  </si>
  <si>
    <t>Aayu</t>
  </si>
  <si>
    <t>Aayush</t>
  </si>
  <si>
    <t>Aayudh</t>
  </si>
  <si>
    <t>Aayus</t>
  </si>
  <si>
    <t>Aayushmaan</t>
  </si>
  <si>
    <t>Aayushman</t>
  </si>
  <si>
    <t>Aazim</t>
  </si>
  <si>
    <t>Abaan</t>
  </si>
  <si>
    <t>Abadhya</t>
  </si>
  <si>
    <t>Abay</t>
  </si>
  <si>
    <t>Abayan</t>
  </si>
  <si>
    <t>Abbas</t>
  </si>
  <si>
    <t>Abbhinav</t>
  </si>
  <si>
    <t>Abbir</t>
  </si>
  <si>
    <t>Abbott</t>
  </si>
  <si>
    <t>Abbud</t>
  </si>
  <si>
    <t>Abbudin</t>
  </si>
  <si>
    <t>Abdul</t>
  </si>
  <si>
    <t>Abdul Ali</t>
  </si>
  <si>
    <t>Ali Mohammed</t>
  </si>
  <si>
    <t>Abdul Aziz</t>
  </si>
  <si>
    <t>Abdul Gani</t>
  </si>
  <si>
    <t>Abdul Ghani</t>
  </si>
  <si>
    <t>Abdul Rahaman</t>
  </si>
  <si>
    <t>Abdul Rahman</t>
  </si>
  <si>
    <t>Abdul Raheem</t>
  </si>
  <si>
    <t>Abdul Wahid</t>
  </si>
  <si>
    <t>Abdullah</t>
  </si>
  <si>
    <t>Abdus</t>
  </si>
  <si>
    <t>Abdus Salaam</t>
  </si>
  <si>
    <t>Abdus Samad</t>
  </si>
  <si>
    <t>Abdus Sami</t>
  </si>
  <si>
    <t>Abdus Sattar</t>
  </si>
  <si>
    <t>Abdus Shafi</t>
  </si>
  <si>
    <t>Abdus Shahid</t>
  </si>
  <si>
    <t>Abdus Subbooh</t>
  </si>
  <si>
    <t>Abdus Sabour</t>
  </si>
  <si>
    <t>Abdus Sameei</t>
  </si>
  <si>
    <t>Abdus Shaheed</t>
  </si>
  <si>
    <t>Abdus Shakur</t>
  </si>
  <si>
    <t>Abed</t>
  </si>
  <si>
    <t>Abedin</t>
  </si>
  <si>
    <t>Abeer</t>
  </si>
  <si>
    <t>Abel</t>
  </si>
  <si>
    <t>Abenayan</t>
  </si>
  <si>
    <t>Abezag</t>
  </si>
  <si>
    <t>Abhaidev</t>
  </si>
  <si>
    <t>Abhaijeet</t>
  </si>
  <si>
    <t>Abharajithan</t>
  </si>
  <si>
    <t>Abhas</t>
  </si>
  <si>
    <t>Abhav</t>
  </si>
  <si>
    <t>Abhay</t>
  </si>
  <si>
    <t>Abhaya Prada</t>
  </si>
  <si>
    <t>Abhayam</t>
  </si>
  <si>
    <t>Abhayan</t>
  </si>
  <si>
    <t>Abhayananda</t>
  </si>
  <si>
    <t>Abhayankar</t>
  </si>
  <si>
    <t>Abheek</t>
  </si>
  <si>
    <t>Abheesht</t>
  </si>
  <si>
    <t>Abheet</t>
  </si>
  <si>
    <t>Abhey</t>
  </si>
  <si>
    <t>Abhibhava</t>
  </si>
  <si>
    <t>Abhicandra</t>
  </si>
  <si>
    <t>Abhichandra</t>
  </si>
  <si>
    <t>Abhideep</t>
  </si>
  <si>
    <t>Abhidharm</t>
  </si>
  <si>
    <t>Abhidi</t>
  </si>
  <si>
    <t>Abhigyaan</t>
  </si>
  <si>
    <t>Abhihas</t>
  </si>
  <si>
    <t>Abhihita</t>
  </si>
  <si>
    <t>Abhijaat</t>
  </si>
  <si>
    <t>Abhijan</t>
  </si>
  <si>
    <t>Abhijat</t>
  </si>
  <si>
    <t>Abhijath</t>
  </si>
  <si>
    <t>Abhijay</t>
  </si>
  <si>
    <t>Abhijaya</t>
  </si>
  <si>
    <t>Abhijeet</t>
  </si>
  <si>
    <t>Abhijit</t>
  </si>
  <si>
    <t>Abhijith</t>
  </si>
  <si>
    <t>Abhijun</t>
  </si>
  <si>
    <t>Abhijvala</t>
  </si>
  <si>
    <t>Abhik</t>
  </si>
  <si>
    <t>Abhikam</t>
  </si>
  <si>
    <t>Abhilash</t>
  </si>
  <si>
    <t>Abhilesh</t>
  </si>
  <si>
    <t>Abhim</t>
  </si>
  <si>
    <t>Abhimaan</t>
  </si>
  <si>
    <t>Abhiman</t>
  </si>
  <si>
    <t>Abhimand</t>
  </si>
  <si>
    <t>Abhimani</t>
  </si>
  <si>
    <t>Abhimanuya</t>
  </si>
  <si>
    <t>Abhimanya</t>
  </si>
  <si>
    <t>Abhimanyu</t>
  </si>
  <si>
    <t>Abhimanyusuta</t>
  </si>
  <si>
    <t>Abhimath</t>
  </si>
  <si>
    <t>Abhimoda</t>
  </si>
  <si>
    <t>Abhinabhas</t>
  </si>
  <si>
    <t>Abhinand</t>
  </si>
  <si>
    <t>Abhinanda</t>
  </si>
  <si>
    <t>Abhinandan</t>
  </si>
  <si>
    <t>Abhinandana</t>
  </si>
  <si>
    <t>Abhinash</t>
  </si>
  <si>
    <t>Abhinatha</t>
  </si>
  <si>
    <t>Abhinav</t>
  </si>
  <si>
    <t>Abhinava</t>
  </si>
  <si>
    <t>Abhinay</t>
  </si>
  <si>
    <t>Abhineet</t>
  </si>
  <si>
    <t>Abhinesh</t>
  </si>
  <si>
    <t>Abhinit</t>
  </si>
  <si>
    <t>Abhinivesh</t>
  </si>
  <si>
    <t>Abhinu</t>
  </si>
  <si>
    <t>Abhipuj</t>
  </si>
  <si>
    <t>Abhir</t>
  </si>
  <si>
    <t>Abhiraam</t>
  </si>
  <si>
    <t>Abhiraj</t>
  </si>
  <si>
    <t>Abhiral</t>
  </si>
  <si>
    <t>Abhiram</t>
  </si>
  <si>
    <t>Abhirath</t>
  </si>
  <si>
    <t>Abhiroop</t>
  </si>
  <si>
    <t>Abhirup</t>
  </si>
  <si>
    <t>Abhisar</t>
  </si>
  <si>
    <t>Abhisek</t>
  </si>
  <si>
    <t>Abhisheik</t>
  </si>
  <si>
    <t>Abhishek</t>
  </si>
  <si>
    <t>Abhishekita</t>
  </si>
  <si>
    <t>Abhishrey</t>
  </si>
  <si>
    <t>Abhisoka</t>
  </si>
  <si>
    <t>Abhisumat</t>
  </si>
  <si>
    <t>Abhisumath</t>
  </si>
  <si>
    <t>Abhisyanta</t>
  </si>
  <si>
    <t>Abhith</t>
  </si>
  <si>
    <t>Abhivaadan</t>
  </si>
  <si>
    <t>Abhivadan</t>
  </si>
  <si>
    <t>Abhivanth</t>
  </si>
  <si>
    <t>Abivanth</t>
  </si>
  <si>
    <t>Abhivira</t>
  </si>
  <si>
    <t>Abhjeet</t>
  </si>
  <si>
    <t>Abhoy</t>
  </si>
  <si>
    <t>Abhra</t>
  </si>
  <si>
    <t>Abhrakasin</t>
  </si>
  <si>
    <t>Abhram</t>
  </si>
  <si>
    <t>Abhranila</t>
  </si>
  <si>
    <t>Abhu</t>
  </si>
  <si>
    <t>Abhya</t>
  </si>
  <si>
    <t>Abhyagni</t>
  </si>
  <si>
    <t>Abhyan</t>
  </si>
  <si>
    <t>Abhyank</t>
  </si>
  <si>
    <t>Abhypsit</t>
  </si>
  <si>
    <t>Abhyuday</t>
  </si>
  <si>
    <t>Abhyudaya</t>
  </si>
  <si>
    <t>Abhyudev</t>
  </si>
  <si>
    <t>Abhyudita</t>
  </si>
  <si>
    <t>Abid</t>
  </si>
  <si>
    <t>Abidin</t>
  </si>
  <si>
    <t>Abijith</t>
  </si>
  <si>
    <t>Abimanyu</t>
  </si>
  <si>
    <t>Abinash</t>
  </si>
  <si>
    <t>Abinav</t>
  </si>
  <si>
    <t>Abinay</t>
  </si>
  <si>
    <t>Abinayan</t>
  </si>
  <si>
    <t>Abinesh</t>
  </si>
  <si>
    <t>Abinish</t>
  </si>
  <si>
    <t>Abiram</t>
  </si>
  <si>
    <t>Abisali</t>
  </si>
  <si>
    <t>Abishek</t>
  </si>
  <si>
    <t>Abjayoni</t>
  </si>
  <si>
    <t>Abjit</t>
  </si>
  <si>
    <t>Abner</t>
  </si>
  <si>
    <t>Abninayan</t>
  </si>
  <si>
    <t>Abra</t>
  </si>
  <si>
    <t>Abrad</t>
  </si>
  <si>
    <t>Total Sales</t>
  </si>
  <si>
    <t>Consumer</t>
  </si>
  <si>
    <t>Electronics</t>
  </si>
  <si>
    <t>Smartphone</t>
  </si>
  <si>
    <t>Corporate</t>
  </si>
  <si>
    <t>Headphones</t>
  </si>
  <si>
    <t>Home</t>
  </si>
  <si>
    <t>Lamp</t>
  </si>
  <si>
    <t>Laptop</t>
  </si>
  <si>
    <t>Clothing</t>
  </si>
  <si>
    <t>Jeans</t>
  </si>
  <si>
    <t>Table</t>
  </si>
  <si>
    <t>T-Shirt</t>
  </si>
  <si>
    <t>Jacket</t>
  </si>
  <si>
    <t>Sofa</t>
  </si>
  <si>
    <t>Total Orders</t>
  </si>
  <si>
    <t>AOV (Average Order Value)</t>
  </si>
  <si>
    <t>Unique Customers</t>
  </si>
  <si>
    <t>Repeat Customers</t>
  </si>
  <si>
    <t>Order Count per Customer</t>
  </si>
  <si>
    <t>Retention Rate %</t>
  </si>
  <si>
    <t>Grand Total</t>
  </si>
  <si>
    <t>Sum of  Total Sales</t>
  </si>
  <si>
    <t>Sales By Category</t>
  </si>
  <si>
    <t>Sales By Segment</t>
  </si>
  <si>
    <t>Top 5 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</si>
</sst>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[Ecommerce_Orders_2025.xlsx]Day12_Analysis!PivotTable1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Day12_Analysis!$B$5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Day12_Analysis!$A$6:$A$9</c:f>
              <c:strCache>
                <c:ptCount val="3"/>
                <c:pt idx="0">
                  <c:v>Clothing</c:v>
                </c:pt>
                <c:pt idx="1">
                  <c:v>Electronics</c:v>
                </c:pt>
                <c:pt idx="2">
                  <c:v>Home</c:v>
                </c:pt>
              </c:strCache>
            </c:strRef>
          </c:cat>
          <c:val>
            <c:numRef>
              <c:f>Day12_Analysis!$B$6:$B$9</c:f>
              <c:numCache>
                <c:formatCode>General</c:formatCode>
                <c:ptCount val="3"/>
                <c:pt idx="0">
                  <c:v>30008</c:v>
                </c:pt>
                <c:pt idx="1">
                  <c:v>359997</c:v>
                </c:pt>
                <c:pt idx="2">
                  <c:v>204981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1A-491A-BCA5-C6638F482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4428576"/>
        <c:axId val="2144433856"/>
      </c:barChart>
      <c:catAx>
        <c:axId val="2144428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33856"/>
        <c:crosses val="autoZero"/>
        <c:auto val="1"/>
        <c:lblAlgn val="ctr"/>
        <c:lblOffset val="100"/>
        <c:noMultiLvlLbl val="0"/>
      </c:catAx>
      <c:valAx>
        <c:axId val="2144433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28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[Ecommerce_Orders_2025.xlsx]Day12_Analysis!PivotTable2</c:name>
    <c:fmtId val="0"/>
  </c:pivotSource>
  <c:chart>
    <c:title>
      <c:layout>
        <c:manualLayout>
          <c:xMode val="edge"/>
          <c:yMode val="edge"/>
          <c:x val="0.4262910798122066"/>
          <c:y val="0.1444231235801407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Day12_Analysis!$E$5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Day12_Analysis!$D$6:$D$8</c:f>
              <c:strCache>
                <c:ptCount val="2"/>
                <c:pt idx="0">
                  <c:v>Consumer</c:v>
                </c:pt>
                <c:pt idx="1">
                  <c:v>Corporate</c:v>
                </c:pt>
              </c:strCache>
            </c:strRef>
          </c:cat>
          <c:val>
            <c:numRef>
              <c:f>Day12_Analysis!$E$6:$E$8</c:f>
              <c:numCache>
                <c:formatCode>General</c:formatCode>
                <c:ptCount val="2"/>
                <c:pt idx="0">
                  <c:v>312714</c:v>
                </c:pt>
                <c:pt idx="1">
                  <c:v>282272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8C-477D-BFDE-0594716BEB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[Ecommerce_Orders_2025.xlsx]Day12_Analysis!PivotTable3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Day12_Analysis!$H$5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Day12_Analysis!$G$6:$G$11</c:f>
              <c:strCache>
                <c:ptCount val="5"/>
                <c:pt idx="0">
                  <c:v>Headphones</c:v>
                </c:pt>
                <c:pt idx="1">
                  <c:v>Laptop</c:v>
                </c:pt>
                <c:pt idx="2">
                  <c:v>Smartphone</c:v>
                </c:pt>
                <c:pt idx="3">
                  <c:v>Table</c:v>
                </c:pt>
                <c:pt idx="4">
                  <c:v>Sofa</c:v>
                </c:pt>
              </c:strCache>
            </c:strRef>
          </c:cat>
          <c:val>
            <c:numRef>
              <c:f>Day12_Analysis!$H$6:$H$11</c:f>
              <c:numCache>
                <c:formatCode>General</c:formatCode>
                <c:ptCount val="5"/>
                <c:pt idx="0">
                  <c:v>141154</c:v>
                </c:pt>
                <c:pt idx="1">
                  <c:v>114051</c:v>
                </c:pt>
                <c:pt idx="2">
                  <c:v>104792</c:v>
                </c:pt>
                <c:pt idx="3">
                  <c:v>74774</c:v>
                </c:pt>
                <c:pt idx="4">
                  <c:v>70291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65-4604-9533-C210701F4D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44432896"/>
        <c:axId val="2144444896"/>
      </c:barChart>
      <c:catAx>
        <c:axId val="2144432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44896"/>
        <c:crosses val="autoZero"/>
        <c:auto val="1"/>
        <c:lblAlgn val="ctr"/>
        <c:lblOffset val="100"/>
        <c:noMultiLvlLbl val="0"/>
      </c:catAx>
      <c:valAx>
        <c:axId val="21444448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443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22860</xdr:rowOff>
    </xdr:from>
    <xdr:to>
      <xdr:col>2</xdr:col>
      <xdr:colOff>1203960</xdr:colOff>
      <xdr:row>21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C63CA9E-CCB8-CEDD-C57D-76721C725F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12</xdr:row>
      <xdr:rowOff>0</xdr:rowOff>
    </xdr:from>
    <xdr:to>
      <xdr:col>5</xdr:col>
      <xdr:colOff>76200</xdr:colOff>
      <xdr:row>23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E6AEBE8-7910-65E9-18F9-4E216ADA8B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12</xdr:row>
      <xdr:rowOff>38100</xdr:rowOff>
    </xdr:from>
    <xdr:to>
      <xdr:col>13</xdr:col>
      <xdr:colOff>586740</xdr:colOff>
      <xdr:row>24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A325ACD-CF06-04B4-E566-86381D21F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ITESH" refreshedDate="45803.921011921295" createdVersion="8" refreshedVersion="8" minRefreshableVersion="3" recordCount="1000" xr:uid="{0416091C-B091-410E-825C-606901899CC4}">
  <cacheSource type="worksheet">
    <worksheetSource ref="A1:K1001" sheet="Orders"/>
  </cacheSource>
  <cacheFields count="11">
    <cacheField name="Order ID" numFmtId="0">
      <sharedItems/>
    </cacheField>
    <cacheField name="Order Date" numFmtId="14">
      <sharedItems containsSemiMixedTypes="0" containsNonDate="0" containsDate="1" containsString="0" minDate="2024-01-01T00:00:00" maxDate="2024-09-29T00:00:00"/>
    </cacheField>
    <cacheField name="Customer ID" numFmtId="0">
      <sharedItems/>
    </cacheField>
    <cacheField name="Customer Name" numFmtId="0">
      <sharedItems/>
    </cacheField>
    <cacheField name="Segment" numFmtId="0">
      <sharedItems count="2">
        <s v="Consumer"/>
        <s v="Corporate"/>
      </sharedItems>
    </cacheField>
    <cacheField name="Product category" numFmtId="0">
      <sharedItems count="3">
        <s v="Electronics"/>
        <s v="Home"/>
        <s v="Clothing"/>
      </sharedItems>
    </cacheField>
    <cacheField name="Product Name" numFmtId="0">
      <sharedItems count="9">
        <s v="Smartphone"/>
        <s v="Headphones"/>
        <s v="Lamp"/>
        <s v="Laptop"/>
        <s v="Jeans"/>
        <s v="Table"/>
        <s v="T-Shirt"/>
        <s v="Jacket"/>
        <s v="Sofa"/>
      </sharedItems>
    </cacheField>
    <cacheField name="Quantity" numFmtId="0">
      <sharedItems containsSemiMixedTypes="0" containsString="0" containsNumber="1" containsInteger="1" minValue="1" maxValue="5"/>
    </cacheField>
    <cacheField name="Unit Price" numFmtId="0">
      <sharedItems containsSemiMixedTypes="0" containsString="0" containsNumber="1" containsInteger="1" minValue="10" maxValue="500"/>
    </cacheField>
    <cacheField name=" Total Sales" numFmtId="0">
      <sharedItems containsSemiMixedTypes="0" containsString="0" containsNumber="1" containsInteger="1" minValue="10" maxValue="2500" count="584">
        <n v="636"/>
        <n v="536"/>
        <n v="396"/>
        <n v="302"/>
        <n v="148"/>
        <n v="408"/>
        <n v="26"/>
        <n v="830"/>
        <n v="299"/>
        <n v="468"/>
        <n v="1300"/>
        <n v="72"/>
        <n v="33"/>
        <n v="36"/>
        <n v="690"/>
        <n v="1368"/>
        <n v="1920"/>
        <n v="298"/>
        <n v="192"/>
        <n v="2405"/>
        <n v="1302"/>
        <n v="196"/>
        <n v="1616"/>
        <n v="18"/>
        <n v="30"/>
        <n v="1276"/>
        <n v="225"/>
        <n v="247"/>
        <n v="1264"/>
        <n v="950"/>
        <n v="429"/>
        <n v="69"/>
        <n v="259"/>
        <n v="1972"/>
        <n v="96"/>
        <n v="190"/>
        <n v="2155"/>
        <n v="870"/>
        <n v="1014"/>
        <n v="1100"/>
        <n v="380"/>
        <n v="176"/>
        <n v="1497"/>
        <n v="948"/>
        <n v="1224"/>
        <n v="115"/>
        <n v="1856"/>
        <n v="70"/>
        <n v="1896"/>
        <n v="756"/>
        <n v="361"/>
        <n v="62"/>
        <n v="138"/>
        <n v="915"/>
        <n v="1194"/>
        <n v="980"/>
        <n v="1458"/>
        <n v="2265"/>
        <n v="92"/>
        <n v="141"/>
        <n v="2135"/>
        <n v="105"/>
        <n v="490"/>
        <n v="63"/>
        <n v="570"/>
        <n v="2080"/>
        <n v="612"/>
        <n v="165"/>
        <n v="16"/>
        <n v="104"/>
        <n v="772"/>
        <n v="74"/>
        <n v="366"/>
        <n v="130"/>
        <n v="240"/>
        <n v="364"/>
        <n v="594"/>
        <n v="848"/>
        <n v="20"/>
        <n v="60"/>
        <n v="976"/>
        <n v="744"/>
        <n v="10"/>
        <n v="44"/>
        <n v="24"/>
        <n v="1060"/>
        <n v="1000"/>
        <n v="2095"/>
        <n v="144"/>
        <n v="964"/>
        <n v="1128"/>
        <n v="435"/>
        <n v="143"/>
        <n v="450"/>
        <n v="712"/>
        <n v="1268"/>
        <n v="108"/>
        <n v="84"/>
        <n v="390"/>
        <n v="1952"/>
        <n v="891"/>
        <n v="633"/>
        <n v="392"/>
        <n v="472"/>
        <n v="128"/>
        <n v="1095"/>
        <n v="936"/>
        <n v="1636"/>
        <n v="996"/>
        <n v="1120"/>
        <n v="900"/>
        <n v="1015"/>
        <n v="64"/>
        <n v="17"/>
        <n v="1875"/>
        <n v="484"/>
        <n v="13"/>
        <n v="54"/>
        <n v="175"/>
        <n v="76"/>
        <n v="146"/>
        <n v="262"/>
        <n v="121"/>
        <n v="129"/>
        <n v="452"/>
        <n v="1316"/>
        <n v="1805"/>
        <n v="525"/>
        <n v="404"/>
        <n v="1370"/>
        <n v="441"/>
        <n v="210"/>
        <n v="160"/>
        <n v="82"/>
        <n v="618"/>
        <n v="648"/>
        <n v="1080"/>
        <n v="627"/>
        <n v="872"/>
        <n v="944"/>
        <n v="336"/>
        <n v="1205"/>
        <n v="838"/>
        <n v="110"/>
        <n v="242"/>
        <n v="866"/>
        <n v="248"/>
        <n v="2350"/>
        <n v="88"/>
        <n v="734"/>
        <n v="1392"/>
        <n v="896"/>
        <n v="330"/>
        <n v="147"/>
        <n v="48"/>
        <n v="1775"/>
        <n v="1790"/>
        <n v="1516"/>
        <n v="783"/>
        <n v="260"/>
        <n v="337"/>
        <n v="352"/>
        <n v="432"/>
        <n v="580"/>
        <n v="602"/>
        <n v="578"/>
        <n v="21"/>
        <n v="620"/>
        <n v="708"/>
        <n v="217"/>
        <n v="1992"/>
        <n v="116"/>
        <n v="820"/>
        <n v="120"/>
        <n v="669"/>
        <n v="446"/>
        <n v="562"/>
        <n v="1600"/>
        <n v="126"/>
        <n v="868"/>
        <n v="448"/>
        <n v="784"/>
        <n v="235"/>
        <n v="75"/>
        <n v="245"/>
        <n v="2260"/>
        <n v="482"/>
        <n v="1156"/>
        <n v="270"/>
        <n v="27"/>
        <n v="42"/>
        <n v="140"/>
        <n v="888"/>
        <n v="51"/>
        <n v="728"/>
        <n v="212"/>
        <n v="360"/>
        <n v="584"/>
        <n v="644"/>
        <n v="534"/>
        <n v="1197"/>
        <n v="760"/>
        <n v="155"/>
        <n v="80"/>
        <n v="383"/>
        <n v="114"/>
        <n v="813"/>
        <n v="271"/>
        <n v="258"/>
        <n v="2430"/>
        <n v="39"/>
        <n v="266"/>
        <n v="45"/>
        <n v="1025"/>
        <n v="90"/>
        <n v="50"/>
        <n v="1260"/>
        <n v="177"/>
        <n v="2290"/>
        <n v="124"/>
        <n v="2495"/>
        <n v="1240"/>
        <n v="353"/>
        <n v="412"/>
        <n v="516"/>
        <n v="478"/>
        <n v="34"/>
        <n v="46"/>
        <n v="1210"/>
        <n v="56"/>
        <n v="1195"/>
        <n v="14"/>
        <n v="552"/>
        <n v="1230"/>
        <n v="1870"/>
        <n v="750"/>
        <n v="566"/>
        <n v="1628"/>
        <n v="1132"/>
        <n v="895"/>
        <n v="465"/>
        <n v="780"/>
        <n v="2065"/>
        <n v="462"/>
        <n v="186"/>
        <n v="456"/>
        <n v="66"/>
        <n v="40"/>
        <n v="135"/>
        <n v="522"/>
        <n v="400"/>
        <n v="1036"/>
        <n v="354"/>
        <n v="244"/>
        <n v="1096"/>
        <n v="255"/>
        <n v="1440"/>
        <n v="180"/>
        <n v="1644"/>
        <n v="822"/>
        <n v="428"/>
        <n v="188"/>
        <n v="218"/>
        <n v="984"/>
        <n v="324"/>
        <n v="692"/>
        <n v="257"/>
        <n v="502"/>
        <n v="402"/>
        <n v="1030"/>
        <n v="1004"/>
        <n v="132"/>
        <n v="500"/>
        <n v="1196"/>
        <n v="935"/>
        <n v="530"/>
        <n v="598"/>
        <n v="234"/>
        <n v="1050"/>
        <n v="2500"/>
        <n v="496"/>
        <n v="564"/>
        <n v="367"/>
        <n v="241"/>
        <n v="1310"/>
        <n v="910"/>
        <n v="1452"/>
        <n v="1164"/>
        <n v="1232"/>
        <n v="904"/>
        <n v="1236"/>
        <n v="406"/>
        <n v="1208"/>
        <n v="145"/>
        <n v="1444"/>
        <n v="1012"/>
        <n v="2450"/>
        <n v="1975"/>
        <n v="720"/>
        <n v="1125"/>
        <n v="880"/>
        <n v="489"/>
        <n v="1396"/>
        <n v="150"/>
        <n v="239"/>
        <n v="654"/>
        <n v="1122"/>
        <n v="861"/>
        <n v="1244"/>
        <n v="592"/>
        <n v="876"/>
        <n v="275"/>
        <n v="152"/>
        <n v="278"/>
        <n v="963"/>
        <n v="1584"/>
        <n v="849"/>
        <n v="405"/>
        <n v="1401"/>
        <n v="740"/>
        <n v="87"/>
        <n v="816"/>
        <n v="699"/>
        <n v="956"/>
        <n v="1136"/>
        <n v="884"/>
        <n v="35"/>
        <n v="1376"/>
        <n v="2455"/>
        <n v="582"/>
        <n v="374"/>
        <n v="1252"/>
        <n v="393"/>
        <n v="1220"/>
        <n v="645"/>
        <n v="1465"/>
        <n v="236"/>
        <n v="1385"/>
        <n v="1170"/>
        <n v="358"/>
        <n v="2465"/>
        <n v="1524"/>
        <n v="1476"/>
        <n v="1140"/>
        <n v="1180"/>
        <n v="1422"/>
        <n v="660"/>
        <n v="184"/>
        <n v="2020"/>
        <n v="726"/>
        <n v="616"/>
        <n v="1104"/>
        <n v="2185"/>
        <n v="1836"/>
        <n v="561"/>
        <n v="544"/>
        <n v="862"/>
        <n v="608"/>
        <n v="161"/>
        <n v="1155"/>
        <n v="28"/>
        <n v="332"/>
        <n v="37"/>
        <n v="1885"/>
        <n v="897"/>
        <n v="231"/>
        <n v="850"/>
        <n v="940"/>
        <n v="256"/>
        <n v="1320"/>
        <n v="1206"/>
        <n v="1090"/>
        <n v="99"/>
        <n v="335"/>
        <n v="1915"/>
        <n v="968"/>
        <n v="2275"/>
        <n v="1434"/>
        <n v="556"/>
        <n v="246"/>
        <n v="1068"/>
        <n v="1413"/>
        <n v="1270"/>
        <n v="960"/>
        <n v="230"/>
        <n v="970"/>
        <n v="1160"/>
        <n v="200"/>
        <n v="860"/>
        <n v="229"/>
        <n v="546"/>
        <n v="382"/>
        <n v="810"/>
        <n v="78"/>
        <n v="1460"/>
        <n v="85"/>
        <n v="371"/>
        <n v="639"/>
        <n v="1445"/>
        <n v="1900"/>
        <n v="606"/>
        <n v="855"/>
        <n v="635"/>
        <n v="38"/>
        <n v="22"/>
        <n v="1144"/>
        <n v="123"/>
        <n v="814"/>
        <n v="314"/>
        <n v="458"/>
        <n v="879"/>
        <n v="1077"/>
        <n v="474"/>
        <n v="461"/>
        <n v="378"/>
        <n v="172"/>
        <n v="504"/>
        <n v="286"/>
        <n v="1272"/>
        <n v="342"/>
        <n v="222"/>
        <n v="170"/>
        <n v="1580"/>
        <n v="203"/>
        <n v="287"/>
        <n v="831"/>
        <n v="133"/>
        <n v="1386"/>
        <n v="228"/>
        <n v="1005"/>
        <n v="786"/>
        <n v="418"/>
        <n v="846"/>
        <n v="93"/>
        <n v="47"/>
        <n v="1360"/>
        <n v="1612"/>
        <n v="510"/>
        <n v="1490"/>
        <n v="2485"/>
        <n v="195"/>
        <n v="103"/>
        <n v="1588"/>
        <n v="1135"/>
        <n v="717"/>
        <n v="381"/>
        <n v="250"/>
        <n v="775"/>
        <n v="1245"/>
        <n v="815"/>
        <n v="113"/>
        <n v="156"/>
        <n v="1675"/>
        <n v="2140"/>
        <n v="600"/>
        <n v="1325"/>
        <n v="1500"/>
        <n v="269"/>
        <n v="1892"/>
        <n v="1845"/>
        <n v="454"/>
        <n v="15"/>
        <n v="624"/>
        <n v="207"/>
        <n v="397"/>
        <n v="486"/>
        <n v="267"/>
        <n v="1167"/>
        <n v="426"/>
        <n v="1595"/>
        <n v="934"/>
        <n v="742"/>
        <n v="688"/>
        <n v="288"/>
        <n v="1985"/>
        <n v="100"/>
        <n v="309"/>
        <n v="1263"/>
        <n v="852"/>
        <n v="1545"/>
        <n v="119"/>
        <n v="290"/>
        <n v="1415"/>
        <n v="2365"/>
        <n v="214"/>
        <n v="1548"/>
        <n v="795"/>
        <n v="969"/>
        <n v="237"/>
        <n v="384"/>
        <n v="1150"/>
        <n v="790"/>
        <n v="420"/>
        <n v="508"/>
        <n v="2225"/>
        <n v="1688"/>
        <n v="1200"/>
        <n v="1340"/>
        <n v="788"/>
        <n v="1410"/>
        <n v="694"/>
        <n v="1592"/>
        <n v="185"/>
        <n v="1239"/>
        <n v="1075"/>
        <n v="368"/>
        <n v="436"/>
        <n v="1420"/>
        <n v="414"/>
        <n v="1315"/>
        <n v="700"/>
        <n v="481"/>
        <n v="1052"/>
        <n v="542"/>
        <n v="1347"/>
        <n v="460"/>
        <n v="209"/>
        <n v="909"/>
        <n v="350"/>
        <n v="440"/>
        <n v="762"/>
        <n v="416"/>
        <n v="920"/>
        <n v="1040"/>
        <n v="675"/>
        <n v="471"/>
        <n v="2330"/>
        <n v="477"/>
        <n v="1395"/>
        <n v="585"/>
        <n v="363"/>
        <n v="634"/>
        <n v="1092"/>
        <n v="844"/>
        <n v="399"/>
        <n v="476"/>
        <n v="189"/>
        <n v="603"/>
        <n v="444"/>
        <n v="1785"/>
        <n v="540"/>
        <n v="1760"/>
        <n v="283"/>
        <n v="1056"/>
        <n v="343"/>
        <n v="528"/>
        <n v="164"/>
        <n v="1996"/>
        <n v="215"/>
        <n v="193"/>
        <n v="1660"/>
        <n v="630"/>
        <n v="430"/>
        <n v="199"/>
        <n v="1176"/>
        <n v="1488"/>
        <n v="558"/>
        <n v="201"/>
        <n v="588"/>
        <n v="864"/>
        <n v="819"/>
        <n v="1335"/>
        <n v="320"/>
        <n v="372"/>
        <n v="423"/>
        <n v="1752"/>
        <n v="43"/>
        <n v="990"/>
        <n v="311"/>
        <n v="117"/>
        <n v="1564"/>
        <n v="216"/>
        <n v="65"/>
        <n v="992"/>
        <n v="32"/>
        <n v="279"/>
        <n v="422"/>
        <n v="651"/>
        <n v="1740"/>
        <n v="31"/>
        <n v="1255"/>
        <n v="12"/>
        <n v="1305"/>
        <n v="666"/>
      </sharedItems>
    </cacheField>
    <cacheField name="Order Count per Customer" numFmtId="0">
      <sharedItems containsSemiMixedTypes="0" containsString="0" containsNumber="1" containsInteger="1" minValue="1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ORD001"/>
    <d v="2024-01-01T00:00:00"/>
    <s v="CUST001"/>
    <s v="Aaban"/>
    <x v="0"/>
    <x v="0"/>
    <x v="0"/>
    <n v="2"/>
    <n v="318"/>
    <x v="0"/>
    <n v="3"/>
  </r>
  <r>
    <s v="ORD002"/>
    <d v="2024-01-02T00:00:00"/>
    <s v="CUST002"/>
    <s v="Aabharan"/>
    <x v="1"/>
    <x v="0"/>
    <x v="0"/>
    <n v="2"/>
    <n v="268"/>
    <x v="1"/>
    <n v="2"/>
  </r>
  <r>
    <s v="ORD003"/>
    <d v="2024-01-03T00:00:00"/>
    <s v="CUST003"/>
    <s v="Aabhas"/>
    <x v="1"/>
    <x v="0"/>
    <x v="1"/>
    <n v="1"/>
    <n v="396"/>
    <x v="2"/>
    <n v="2"/>
  </r>
  <r>
    <s v="ORD004"/>
    <d v="2024-01-04T00:00:00"/>
    <s v="CUST004"/>
    <s v="Aabhat"/>
    <x v="1"/>
    <x v="0"/>
    <x v="1"/>
    <n v="1"/>
    <n v="302"/>
    <x v="3"/>
    <n v="3"/>
  </r>
  <r>
    <s v="ORD005"/>
    <d v="2024-01-05T00:00:00"/>
    <s v="CUST005"/>
    <s v="Aabheer"/>
    <x v="0"/>
    <x v="1"/>
    <x v="2"/>
    <n v="1"/>
    <n v="148"/>
    <x v="4"/>
    <n v="2"/>
  </r>
  <r>
    <s v="ORD006"/>
    <d v="2024-01-06T00:00:00"/>
    <s v="CUST006"/>
    <s v="Aabheer"/>
    <x v="1"/>
    <x v="0"/>
    <x v="3"/>
    <n v="1"/>
    <n v="408"/>
    <x v="5"/>
    <n v="3"/>
  </r>
  <r>
    <s v="ORD007"/>
    <d v="2024-01-07T00:00:00"/>
    <s v="CUST007"/>
    <s v="Abheer"/>
    <x v="0"/>
    <x v="2"/>
    <x v="4"/>
    <n v="2"/>
    <n v="13"/>
    <x v="6"/>
    <n v="2"/>
  </r>
  <r>
    <s v="ORD008"/>
    <d v="2024-01-08T00:00:00"/>
    <s v="CUST008"/>
    <s v="Aabher"/>
    <x v="0"/>
    <x v="1"/>
    <x v="5"/>
    <n v="5"/>
    <n v="166"/>
    <x v="7"/>
    <n v="3"/>
  </r>
  <r>
    <s v="ORD009"/>
    <d v="2024-01-09T00:00:00"/>
    <s v="CUST009"/>
    <s v="Aabi"/>
    <x v="1"/>
    <x v="0"/>
    <x v="1"/>
    <n v="1"/>
    <n v="299"/>
    <x v="8"/>
    <n v="4"/>
  </r>
  <r>
    <s v="ORD010"/>
    <d v="2024-01-10T00:00:00"/>
    <s v="CUST010"/>
    <s v="Aabilesh"/>
    <x v="0"/>
    <x v="0"/>
    <x v="3"/>
    <n v="1"/>
    <n v="468"/>
    <x v="9"/>
    <n v="1"/>
  </r>
  <r>
    <s v="ORD011"/>
    <d v="2024-01-11T00:00:00"/>
    <s v="CUST011"/>
    <s v="Aabir"/>
    <x v="1"/>
    <x v="0"/>
    <x v="1"/>
    <n v="4"/>
    <n v="325"/>
    <x v="10"/>
    <n v="2"/>
  </r>
  <r>
    <s v="ORD012"/>
    <d v="2024-01-12T00:00:00"/>
    <s v="CUST012"/>
    <s v="Aabishan"/>
    <x v="1"/>
    <x v="2"/>
    <x v="4"/>
    <n v="3"/>
    <n v="24"/>
    <x v="11"/>
    <n v="2"/>
  </r>
  <r>
    <s v="ORD013"/>
    <d v="2024-01-13T00:00:00"/>
    <s v="CUST013"/>
    <s v="Aabishayan"/>
    <x v="1"/>
    <x v="2"/>
    <x v="4"/>
    <n v="3"/>
    <n v="11"/>
    <x v="12"/>
    <n v="1"/>
  </r>
  <r>
    <s v="ORD014"/>
    <d v="2024-01-14T00:00:00"/>
    <s v="CUST014"/>
    <s v="Aacharya"/>
    <x v="1"/>
    <x v="2"/>
    <x v="6"/>
    <n v="1"/>
    <n v="36"/>
    <x v="13"/>
    <n v="1"/>
  </r>
  <r>
    <s v="ORD015"/>
    <d v="2024-01-15T00:00:00"/>
    <s v="CUST015"/>
    <s v="Aachman"/>
    <x v="1"/>
    <x v="1"/>
    <x v="2"/>
    <n v="5"/>
    <n v="138"/>
    <x v="14"/>
    <n v="1"/>
  </r>
  <r>
    <s v="ORD016"/>
    <d v="2024-01-16T00:00:00"/>
    <s v="CUST016"/>
    <s v="Aachuthan"/>
    <x v="0"/>
    <x v="0"/>
    <x v="3"/>
    <n v="4"/>
    <n v="342"/>
    <x v="15"/>
    <n v="3"/>
  </r>
  <r>
    <s v="ORD017"/>
    <d v="2024-01-17T00:00:00"/>
    <s v="CUST017"/>
    <s v="Aadalalagan"/>
    <x v="1"/>
    <x v="0"/>
    <x v="1"/>
    <n v="5"/>
    <n v="384"/>
    <x v="16"/>
    <n v="1"/>
  </r>
  <r>
    <s v="ORD018"/>
    <d v="2024-01-18T00:00:00"/>
    <s v="CUST018"/>
    <s v="Aadalarasan"/>
    <x v="1"/>
    <x v="1"/>
    <x v="5"/>
    <n v="1"/>
    <n v="298"/>
    <x v="17"/>
    <n v="1"/>
  </r>
  <r>
    <s v="ORD019"/>
    <d v="2024-01-19T00:00:00"/>
    <s v="CUST019"/>
    <s v="Aadalazhagan"/>
    <x v="1"/>
    <x v="2"/>
    <x v="6"/>
    <n v="4"/>
    <n v="48"/>
    <x v="18"/>
    <n v="1"/>
  </r>
  <r>
    <s v="ORD020"/>
    <d v="2024-01-20T00:00:00"/>
    <s v="CUST020"/>
    <s v="Aadamya"/>
    <x v="1"/>
    <x v="0"/>
    <x v="1"/>
    <n v="5"/>
    <n v="481"/>
    <x v="19"/>
    <n v="2"/>
  </r>
  <r>
    <s v="ORD021"/>
    <d v="2024-01-21T00:00:00"/>
    <s v="CUST021"/>
    <s v="Aadanyan"/>
    <x v="0"/>
    <x v="0"/>
    <x v="0"/>
    <n v="3"/>
    <n v="434"/>
    <x v="20"/>
    <n v="3"/>
  </r>
  <r>
    <s v="ORD022"/>
    <d v="2024-01-22T00:00:00"/>
    <s v="CUST022"/>
    <s v="Aadarko"/>
    <x v="1"/>
    <x v="2"/>
    <x v="6"/>
    <n v="4"/>
    <n v="49"/>
    <x v="21"/>
    <n v="1"/>
  </r>
  <r>
    <s v="ORD023"/>
    <d v="2024-01-23T00:00:00"/>
    <s v="CUST023"/>
    <s v="Aadarsh"/>
    <x v="0"/>
    <x v="0"/>
    <x v="3"/>
    <n v="4"/>
    <n v="404"/>
    <x v="22"/>
    <n v="1"/>
  </r>
  <r>
    <s v="ORD024"/>
    <d v="2024-01-24T00:00:00"/>
    <s v="CUST024"/>
    <s v="Aadarshan"/>
    <x v="0"/>
    <x v="2"/>
    <x v="7"/>
    <n v="1"/>
    <n v="18"/>
    <x v="23"/>
    <n v="2"/>
  </r>
  <r>
    <s v="ORD025"/>
    <d v="2024-01-25T00:00:00"/>
    <s v="CUST025"/>
    <s v="Aadarshanan"/>
    <x v="1"/>
    <x v="2"/>
    <x v="4"/>
    <n v="3"/>
    <n v="10"/>
    <x v="24"/>
    <n v="2"/>
  </r>
  <r>
    <s v="ORD026"/>
    <d v="2024-01-26T00:00:00"/>
    <s v="CUST026"/>
    <s v="Aadav"/>
    <x v="1"/>
    <x v="0"/>
    <x v="3"/>
    <n v="4"/>
    <n v="319"/>
    <x v="25"/>
    <n v="2"/>
  </r>
  <r>
    <s v="ORD027"/>
    <d v="2024-01-27T00:00:00"/>
    <s v="CUST027"/>
    <s v="Aadavan"/>
    <x v="0"/>
    <x v="2"/>
    <x v="4"/>
    <n v="5"/>
    <n v="45"/>
    <x v="26"/>
    <n v="1"/>
  </r>
  <r>
    <s v="ORD028"/>
    <d v="2024-01-28T00:00:00"/>
    <s v="CUST028"/>
    <s v="Aadesh"/>
    <x v="0"/>
    <x v="0"/>
    <x v="1"/>
    <n v="1"/>
    <n v="247"/>
    <x v="27"/>
    <n v="4"/>
  </r>
  <r>
    <s v="ORD029"/>
    <d v="2024-01-29T00:00:00"/>
    <s v="CUST029"/>
    <s v="Aadesh"/>
    <x v="1"/>
    <x v="0"/>
    <x v="1"/>
    <n v="4"/>
    <n v="316"/>
    <x v="28"/>
    <n v="1"/>
  </r>
  <r>
    <s v="ORD030"/>
    <d v="2024-01-30T00:00:00"/>
    <s v="CUST030"/>
    <s v="Adesh"/>
    <x v="1"/>
    <x v="1"/>
    <x v="5"/>
    <n v="3"/>
    <n v="156"/>
    <x v="9"/>
    <n v="1"/>
  </r>
  <r>
    <s v="ORD031"/>
    <d v="2024-01-31T00:00:00"/>
    <s v="CUST031"/>
    <s v="Aadhan"/>
    <x v="0"/>
    <x v="0"/>
    <x v="3"/>
    <n v="2"/>
    <n v="475"/>
    <x v="29"/>
    <n v="1"/>
  </r>
  <r>
    <s v="ORD032"/>
    <d v="2024-02-01T00:00:00"/>
    <s v="CUST032"/>
    <s v="Aadhar"/>
    <x v="1"/>
    <x v="1"/>
    <x v="8"/>
    <n v="3"/>
    <n v="143"/>
    <x v="30"/>
    <n v="2"/>
  </r>
  <r>
    <s v="ORD033"/>
    <d v="2024-02-02T00:00:00"/>
    <s v="CUST033"/>
    <s v="Aadhav"/>
    <x v="1"/>
    <x v="1"/>
    <x v="5"/>
    <n v="3"/>
    <n v="230"/>
    <x v="14"/>
    <n v="2"/>
  </r>
  <r>
    <s v="ORD034"/>
    <d v="2024-02-03T00:00:00"/>
    <s v="CUST034"/>
    <s v="Aadhavan"/>
    <x v="0"/>
    <x v="2"/>
    <x v="4"/>
    <n v="3"/>
    <n v="23"/>
    <x v="31"/>
    <n v="3"/>
  </r>
  <r>
    <s v="ORD035"/>
    <d v="2024-02-04T00:00:00"/>
    <s v="CUST035"/>
    <s v="Aadhi"/>
    <x v="0"/>
    <x v="0"/>
    <x v="0"/>
    <n v="1"/>
    <n v="259"/>
    <x v="32"/>
    <n v="2"/>
  </r>
  <r>
    <s v="ORD036"/>
    <d v="2024-02-05T00:00:00"/>
    <s v="CUST036"/>
    <s v="Aadhiban"/>
    <x v="1"/>
    <x v="0"/>
    <x v="1"/>
    <n v="4"/>
    <n v="493"/>
    <x v="33"/>
    <n v="2"/>
  </r>
  <r>
    <s v="ORD037"/>
    <d v="2024-02-06T00:00:00"/>
    <s v="CUST037"/>
    <s v="Aadhidev"/>
    <x v="0"/>
    <x v="2"/>
    <x v="6"/>
    <n v="4"/>
    <n v="24"/>
    <x v="34"/>
    <n v="1"/>
  </r>
  <r>
    <s v="ORD038"/>
    <d v="2024-02-07T00:00:00"/>
    <s v="CUST038"/>
    <s v="Aadhikeshavan"/>
    <x v="0"/>
    <x v="2"/>
    <x v="4"/>
    <n v="5"/>
    <n v="38"/>
    <x v="35"/>
    <n v="3"/>
  </r>
  <r>
    <s v="ORD039"/>
    <d v="2024-02-08T00:00:00"/>
    <s v="CUST039"/>
    <s v="Aadhil"/>
    <x v="1"/>
    <x v="0"/>
    <x v="3"/>
    <n v="5"/>
    <n v="431"/>
    <x v="36"/>
    <n v="3"/>
  </r>
  <r>
    <s v="ORD040"/>
    <d v="2024-02-09T00:00:00"/>
    <s v="CUST040"/>
    <s v="Aadhinath"/>
    <x v="0"/>
    <x v="0"/>
    <x v="1"/>
    <n v="3"/>
    <n v="290"/>
    <x v="37"/>
    <n v="2"/>
  </r>
  <r>
    <s v="ORD041"/>
    <d v="2024-02-10T00:00:00"/>
    <s v="CUST041"/>
    <s v="Aadhiraiyan"/>
    <x v="0"/>
    <x v="0"/>
    <x v="0"/>
    <n v="3"/>
    <n v="338"/>
    <x v="38"/>
    <n v="1"/>
  </r>
  <r>
    <s v="ORD042"/>
    <d v="2024-02-11T00:00:00"/>
    <s v="CUST042"/>
    <s v="Aadhiraj"/>
    <x v="1"/>
    <x v="0"/>
    <x v="1"/>
    <n v="5"/>
    <n v="220"/>
    <x v="39"/>
    <n v="2"/>
  </r>
  <r>
    <s v="ORD043"/>
    <d v="2024-02-12T00:00:00"/>
    <s v="CUST043"/>
    <s v="Aadhiran"/>
    <x v="1"/>
    <x v="0"/>
    <x v="1"/>
    <n v="1"/>
    <n v="380"/>
    <x v="40"/>
    <n v="2"/>
  </r>
  <r>
    <s v="ORD044"/>
    <d v="2024-02-13T00:00:00"/>
    <s v="CUST044"/>
    <s v="Aadhirayan"/>
    <x v="0"/>
    <x v="2"/>
    <x v="6"/>
    <n v="4"/>
    <n v="44"/>
    <x v="41"/>
    <n v="2"/>
  </r>
  <r>
    <s v="ORD045"/>
    <d v="2024-02-14T00:00:00"/>
    <s v="CUST045"/>
    <s v="Aadhiren"/>
    <x v="1"/>
    <x v="0"/>
    <x v="3"/>
    <n v="3"/>
    <n v="499"/>
    <x v="42"/>
    <n v="2"/>
  </r>
  <r>
    <s v="ORD046"/>
    <d v="2024-02-15T00:00:00"/>
    <s v="CUST046"/>
    <s v="Aadhisan"/>
    <x v="0"/>
    <x v="0"/>
    <x v="1"/>
    <n v="3"/>
    <n v="316"/>
    <x v="43"/>
    <n v="2"/>
  </r>
  <r>
    <s v="ORD047"/>
    <d v="2024-02-16T00:00:00"/>
    <s v="CUST047"/>
    <s v="Aadhiseshwar"/>
    <x v="1"/>
    <x v="0"/>
    <x v="1"/>
    <n v="4"/>
    <n v="306"/>
    <x v="44"/>
    <n v="4"/>
  </r>
  <r>
    <s v="ORD048"/>
    <d v="2024-02-17T00:00:00"/>
    <s v="CUST048"/>
    <s v="Aadhish"/>
    <x v="0"/>
    <x v="2"/>
    <x v="6"/>
    <n v="5"/>
    <n v="23"/>
    <x v="45"/>
    <n v="2"/>
  </r>
  <r>
    <s v="ORD049"/>
    <d v="2024-02-18T00:00:00"/>
    <s v="CUST049"/>
    <s v="Aadhishankar"/>
    <x v="1"/>
    <x v="0"/>
    <x v="3"/>
    <n v="4"/>
    <n v="464"/>
    <x v="46"/>
    <n v="2"/>
  </r>
  <r>
    <s v="ORD050"/>
    <d v="2024-02-19T00:00:00"/>
    <s v="CUST050"/>
    <s v="Aadhishwaran"/>
    <x v="0"/>
    <x v="2"/>
    <x v="4"/>
    <n v="5"/>
    <n v="23"/>
    <x v="45"/>
    <n v="3"/>
  </r>
  <r>
    <s v="ORD051"/>
    <d v="2024-02-20T00:00:00"/>
    <s v="CUST051"/>
    <s v="Aadhithan"/>
    <x v="1"/>
    <x v="2"/>
    <x v="7"/>
    <n v="5"/>
    <n v="14"/>
    <x v="47"/>
    <n v="2"/>
  </r>
  <r>
    <s v="ORD052"/>
    <d v="2024-02-21T00:00:00"/>
    <s v="CUST052"/>
    <s v="Aadhithiya"/>
    <x v="0"/>
    <x v="0"/>
    <x v="3"/>
    <n v="4"/>
    <n v="474"/>
    <x v="48"/>
    <n v="1"/>
  </r>
  <r>
    <s v="ORD053"/>
    <d v="2024-02-22T00:00:00"/>
    <s v="CUST053"/>
    <s v="Aadhithya"/>
    <x v="1"/>
    <x v="1"/>
    <x v="5"/>
    <n v="3"/>
    <n v="252"/>
    <x v="49"/>
    <n v="1"/>
  </r>
  <r>
    <s v="ORD054"/>
    <d v="2024-02-23T00:00:00"/>
    <s v="CUST054"/>
    <s v="Aadhithya varman"/>
    <x v="1"/>
    <x v="0"/>
    <x v="1"/>
    <n v="1"/>
    <n v="361"/>
    <x v="50"/>
    <n v="1"/>
  </r>
  <r>
    <s v="ORD055"/>
    <d v="2024-02-24T00:00:00"/>
    <s v="CUST055"/>
    <s v="Aadhithyaa"/>
    <x v="1"/>
    <x v="2"/>
    <x v="4"/>
    <n v="2"/>
    <n v="31"/>
    <x v="51"/>
    <n v="1"/>
  </r>
  <r>
    <s v="ORD056"/>
    <d v="2024-02-25T00:00:00"/>
    <s v="CUST056"/>
    <s v="Aadhityan"/>
    <x v="0"/>
    <x v="2"/>
    <x v="4"/>
    <n v="3"/>
    <n v="46"/>
    <x v="52"/>
    <n v="2"/>
  </r>
  <r>
    <s v="ORD057"/>
    <d v="2024-02-26T00:00:00"/>
    <s v="CUST057"/>
    <s v="Aadhiyannal"/>
    <x v="0"/>
    <x v="1"/>
    <x v="5"/>
    <n v="5"/>
    <n v="183"/>
    <x v="53"/>
    <n v="2"/>
  </r>
  <r>
    <s v="ORD058"/>
    <d v="2024-02-27T00:00:00"/>
    <s v="CUST058"/>
    <s v="Aadhunik"/>
    <x v="1"/>
    <x v="0"/>
    <x v="0"/>
    <n v="3"/>
    <n v="398"/>
    <x v="54"/>
    <n v="2"/>
  </r>
  <r>
    <s v="ORD059"/>
    <d v="2024-02-28T00:00:00"/>
    <s v="CUST059"/>
    <s v="Aadhyatm"/>
    <x v="0"/>
    <x v="0"/>
    <x v="1"/>
    <n v="2"/>
    <n v="490"/>
    <x v="55"/>
    <n v="1"/>
  </r>
  <r>
    <s v="ORD060"/>
    <d v="2024-02-29T00:00:00"/>
    <s v="CUST060"/>
    <s v="Aadi"/>
    <x v="0"/>
    <x v="2"/>
    <x v="4"/>
    <n v="3"/>
    <n v="32"/>
    <x v="34"/>
    <n v="3"/>
  </r>
  <r>
    <s v="ORD061"/>
    <d v="2024-03-01T00:00:00"/>
    <s v="CUST061"/>
    <s v="Aadidev"/>
    <x v="0"/>
    <x v="0"/>
    <x v="0"/>
    <n v="3"/>
    <n v="486"/>
    <x v="56"/>
    <n v="3"/>
  </r>
  <r>
    <s v="ORD062"/>
    <d v="2024-03-02T00:00:00"/>
    <s v="CUST062"/>
    <s v="Aadijay"/>
    <x v="1"/>
    <x v="0"/>
    <x v="0"/>
    <n v="5"/>
    <n v="453"/>
    <x v="57"/>
    <n v="1"/>
  </r>
  <r>
    <s v="ORD063"/>
    <d v="2024-03-03T00:00:00"/>
    <s v="CUST063"/>
    <s v="Aadil"/>
    <x v="0"/>
    <x v="2"/>
    <x v="6"/>
    <n v="2"/>
    <n v="46"/>
    <x v="58"/>
    <n v="1"/>
  </r>
  <r>
    <s v="ORD064"/>
    <d v="2024-03-04T00:00:00"/>
    <s v="CUST064"/>
    <s v="Adil"/>
    <x v="1"/>
    <x v="2"/>
    <x v="4"/>
    <n v="3"/>
    <n v="47"/>
    <x v="59"/>
    <n v="2"/>
  </r>
  <r>
    <s v="ORD065"/>
    <d v="2024-03-05T00:00:00"/>
    <s v="CUST065"/>
    <s v="Aadim"/>
    <x v="1"/>
    <x v="0"/>
    <x v="0"/>
    <n v="5"/>
    <n v="427"/>
    <x v="60"/>
    <n v="4"/>
  </r>
  <r>
    <s v="ORD066"/>
    <d v="2024-03-06T00:00:00"/>
    <s v="CUST066"/>
    <s v="Aadimoolan"/>
    <x v="0"/>
    <x v="1"/>
    <x v="8"/>
    <n v="1"/>
    <n v="105"/>
    <x v="61"/>
    <n v="3"/>
  </r>
  <r>
    <s v="ORD067"/>
    <d v="2024-03-07T00:00:00"/>
    <s v="CUST067"/>
    <s v="Aadinath"/>
    <x v="1"/>
    <x v="0"/>
    <x v="1"/>
    <n v="2"/>
    <n v="245"/>
    <x v="62"/>
    <n v="4"/>
  </r>
  <r>
    <s v="ORD068"/>
    <d v="2024-03-08T00:00:00"/>
    <s v="CUST068"/>
    <s v="Aadipta"/>
    <x v="1"/>
    <x v="2"/>
    <x v="7"/>
    <n v="3"/>
    <n v="21"/>
    <x v="63"/>
    <n v="6"/>
  </r>
  <r>
    <s v="ORD069"/>
    <d v="2024-03-09T00:00:00"/>
    <s v="CUST069"/>
    <s v="Aadish"/>
    <x v="0"/>
    <x v="1"/>
    <x v="8"/>
    <n v="3"/>
    <n v="190"/>
    <x v="64"/>
    <n v="1"/>
  </r>
  <r>
    <s v="ORD070"/>
    <d v="2024-03-10T00:00:00"/>
    <s v="CUST070"/>
    <s v="Aadishankar"/>
    <x v="1"/>
    <x v="0"/>
    <x v="1"/>
    <n v="5"/>
    <n v="416"/>
    <x v="65"/>
    <n v="1"/>
  </r>
  <r>
    <s v="ORD071"/>
    <d v="2024-03-11T00:00:00"/>
    <s v="CUST071"/>
    <s v="Aadit"/>
    <x v="0"/>
    <x v="1"/>
    <x v="5"/>
    <n v="3"/>
    <n v="204"/>
    <x v="66"/>
    <n v="1"/>
  </r>
  <r>
    <s v="ORD072"/>
    <d v="2024-03-12T00:00:00"/>
    <s v="CUST072"/>
    <s v="Aaditey"/>
    <x v="1"/>
    <x v="2"/>
    <x v="7"/>
    <n v="5"/>
    <n v="33"/>
    <x v="67"/>
    <n v="1"/>
  </r>
  <r>
    <s v="ORD073"/>
    <d v="2024-03-13T00:00:00"/>
    <s v="CUST073"/>
    <s v="Aaditeya"/>
    <x v="1"/>
    <x v="2"/>
    <x v="7"/>
    <n v="1"/>
    <n v="16"/>
    <x v="68"/>
    <n v="3"/>
  </r>
  <r>
    <s v="ORD074"/>
    <d v="2024-03-14T00:00:00"/>
    <s v="CUST074"/>
    <s v="Aadith"/>
    <x v="0"/>
    <x v="2"/>
    <x v="4"/>
    <n v="4"/>
    <n v="26"/>
    <x v="69"/>
    <n v="2"/>
  </r>
  <r>
    <s v="ORD075"/>
    <d v="2024-03-15T00:00:00"/>
    <s v="CUST075"/>
    <s v="Aadithya"/>
    <x v="1"/>
    <x v="0"/>
    <x v="1"/>
    <n v="2"/>
    <n v="386"/>
    <x v="70"/>
    <n v="1"/>
  </r>
  <r>
    <s v="ORD076"/>
    <d v="2024-03-16T00:00:00"/>
    <s v="CUST076"/>
    <s v="Aadithyakethu"/>
    <x v="1"/>
    <x v="2"/>
    <x v="6"/>
    <n v="2"/>
    <n v="37"/>
    <x v="71"/>
    <n v="1"/>
  </r>
  <r>
    <s v="ORD077"/>
    <d v="2024-03-17T00:00:00"/>
    <s v="CUST077"/>
    <s v="Aaditva"/>
    <x v="0"/>
    <x v="1"/>
    <x v="8"/>
    <n v="3"/>
    <n v="212"/>
    <x v="0"/>
    <n v="3"/>
  </r>
  <r>
    <s v="ORD078"/>
    <d v="2024-03-18T00:00:00"/>
    <s v="CUST078"/>
    <s v="Aaditya"/>
    <x v="1"/>
    <x v="0"/>
    <x v="1"/>
    <n v="1"/>
    <n v="366"/>
    <x v="72"/>
    <n v="1"/>
  </r>
  <r>
    <s v="ORD079"/>
    <d v="2024-03-19T00:00:00"/>
    <s v="CUST079"/>
    <s v="Aadiv"/>
    <x v="0"/>
    <x v="1"/>
    <x v="5"/>
    <n v="4"/>
    <n v="245"/>
    <x v="55"/>
    <n v="1"/>
  </r>
  <r>
    <s v="ORD080"/>
    <d v="2024-03-20T00:00:00"/>
    <s v="CUST080"/>
    <s v="Aadvay"/>
    <x v="1"/>
    <x v="2"/>
    <x v="4"/>
    <n v="5"/>
    <n v="26"/>
    <x v="73"/>
    <n v="3"/>
  </r>
  <r>
    <s v="ORD081"/>
    <d v="2024-03-21T00:00:00"/>
    <s v="CUST081"/>
    <s v="Aadvik"/>
    <x v="0"/>
    <x v="2"/>
    <x v="7"/>
    <n v="5"/>
    <n v="48"/>
    <x v="74"/>
    <n v="2"/>
  </r>
  <r>
    <s v="ORD082"/>
    <d v="2024-03-22T00:00:00"/>
    <s v="CUST082"/>
    <s v="Aadyant"/>
    <x v="0"/>
    <x v="0"/>
    <x v="1"/>
    <n v="1"/>
    <n v="364"/>
    <x v="75"/>
    <n v="4"/>
  </r>
  <r>
    <s v="ORD083"/>
    <d v="2024-03-23T00:00:00"/>
    <s v="CUST083"/>
    <s v="Aadyot"/>
    <x v="0"/>
    <x v="0"/>
    <x v="0"/>
    <n v="2"/>
    <n v="297"/>
    <x v="76"/>
    <n v="2"/>
  </r>
  <r>
    <s v="ORD084"/>
    <d v="2024-03-24T00:00:00"/>
    <s v="CUST084"/>
    <s v="Aafiya"/>
    <x v="0"/>
    <x v="1"/>
    <x v="5"/>
    <n v="4"/>
    <n v="212"/>
    <x v="77"/>
    <n v="1"/>
  </r>
  <r>
    <s v="ORD085"/>
    <d v="2024-03-25T00:00:00"/>
    <s v="CUST085"/>
    <s v="Aafreen"/>
    <x v="0"/>
    <x v="2"/>
    <x v="6"/>
    <n v="2"/>
    <n v="10"/>
    <x v="78"/>
    <n v="5"/>
  </r>
  <r>
    <s v="ORD086"/>
    <d v="2024-03-26T00:00:00"/>
    <s v="CUST086"/>
    <s v="Aaftab"/>
    <x v="0"/>
    <x v="2"/>
    <x v="7"/>
    <n v="2"/>
    <n v="30"/>
    <x v="79"/>
    <n v="1"/>
  </r>
  <r>
    <s v="ORD087"/>
    <d v="2024-03-27T00:00:00"/>
    <s v="CUST087"/>
    <s v="Aftab"/>
    <x v="1"/>
    <x v="0"/>
    <x v="3"/>
    <n v="2"/>
    <n v="488"/>
    <x v="80"/>
    <n v="3"/>
  </r>
  <r>
    <s v="ORD088"/>
    <d v="2024-03-28T00:00:00"/>
    <s v="CUST088"/>
    <s v="Aagash"/>
    <x v="1"/>
    <x v="0"/>
    <x v="1"/>
    <n v="3"/>
    <n v="248"/>
    <x v="81"/>
    <n v="4"/>
  </r>
  <r>
    <s v="ORD089"/>
    <d v="2024-03-29T00:00:00"/>
    <s v="CUST089"/>
    <s v="Aageethan"/>
    <x v="1"/>
    <x v="2"/>
    <x v="7"/>
    <n v="1"/>
    <n v="10"/>
    <x v="82"/>
    <n v="2"/>
  </r>
  <r>
    <s v="ORD090"/>
    <d v="2024-03-30T00:00:00"/>
    <s v="CUST090"/>
    <s v="Aaghosh"/>
    <x v="0"/>
    <x v="2"/>
    <x v="6"/>
    <n v="2"/>
    <n v="22"/>
    <x v="83"/>
    <n v="1"/>
  </r>
  <r>
    <s v="ORD091"/>
    <d v="2024-03-31T00:00:00"/>
    <s v="CUST091"/>
    <s v="Aagney"/>
    <x v="1"/>
    <x v="1"/>
    <x v="8"/>
    <n v="2"/>
    <n v="151"/>
    <x v="3"/>
    <n v="1"/>
  </r>
  <r>
    <s v="ORD092"/>
    <d v="2024-04-01T00:00:00"/>
    <s v="CUST092"/>
    <s v="Aagneya"/>
    <x v="0"/>
    <x v="2"/>
    <x v="4"/>
    <n v="1"/>
    <n v="24"/>
    <x v="84"/>
    <n v="1"/>
  </r>
  <r>
    <s v="ORD093"/>
    <d v="2024-04-02T00:00:00"/>
    <s v="CUST093"/>
    <s v="Aahaan"/>
    <x v="0"/>
    <x v="1"/>
    <x v="2"/>
    <n v="5"/>
    <n v="212"/>
    <x v="85"/>
    <n v="2"/>
  </r>
  <r>
    <s v="ORD094"/>
    <d v="2024-04-03T00:00:00"/>
    <s v="CUST094"/>
    <s v="Aahan"/>
    <x v="1"/>
    <x v="2"/>
    <x v="6"/>
    <n v="3"/>
    <n v="12"/>
    <x v="13"/>
    <n v="2"/>
  </r>
  <r>
    <s v="ORD095"/>
    <d v="2024-04-04T00:00:00"/>
    <s v="CUST095"/>
    <s v="Aahan"/>
    <x v="1"/>
    <x v="1"/>
    <x v="2"/>
    <n v="4"/>
    <n v="250"/>
    <x v="86"/>
    <n v="2"/>
  </r>
  <r>
    <s v="ORD096"/>
    <d v="2024-04-05T00:00:00"/>
    <s v="CUST096"/>
    <s v="Ahan"/>
    <x v="0"/>
    <x v="0"/>
    <x v="0"/>
    <n v="5"/>
    <n v="419"/>
    <x v="87"/>
    <n v="3"/>
  </r>
  <r>
    <s v="ORD097"/>
    <d v="2024-04-06T00:00:00"/>
    <s v="CUST097"/>
    <s v="Aahanyan"/>
    <x v="0"/>
    <x v="2"/>
    <x v="6"/>
    <n v="3"/>
    <n v="48"/>
    <x v="88"/>
    <n v="1"/>
  </r>
  <r>
    <s v="ORD098"/>
    <d v="2024-04-07T00:00:00"/>
    <s v="CUST098"/>
    <s v="Aaharan"/>
    <x v="1"/>
    <x v="0"/>
    <x v="0"/>
    <n v="2"/>
    <n v="482"/>
    <x v="89"/>
    <n v="1"/>
  </r>
  <r>
    <s v="ORD099"/>
    <d v="2024-04-08T00:00:00"/>
    <s v="CUST099"/>
    <s v="Aaharen"/>
    <x v="1"/>
    <x v="0"/>
    <x v="1"/>
    <n v="4"/>
    <n v="282"/>
    <x v="90"/>
    <n v="2"/>
  </r>
  <r>
    <s v="ORD100"/>
    <d v="2024-04-09T00:00:00"/>
    <s v="CUST100"/>
    <s v="Aahil"/>
    <x v="1"/>
    <x v="0"/>
    <x v="1"/>
    <n v="1"/>
    <n v="435"/>
    <x v="91"/>
    <n v="3"/>
  </r>
  <r>
    <s v="ORD101"/>
    <d v="2024-04-10T00:00:00"/>
    <s v="CUST101"/>
    <s v="Aahlaad"/>
    <x v="1"/>
    <x v="1"/>
    <x v="2"/>
    <n v="1"/>
    <n v="143"/>
    <x v="92"/>
    <n v="2"/>
  </r>
  <r>
    <s v="ORD102"/>
    <d v="2024-04-11T00:00:00"/>
    <s v="CUST102"/>
    <s v="Aahlaadith"/>
    <x v="0"/>
    <x v="0"/>
    <x v="3"/>
    <n v="2"/>
    <n v="225"/>
    <x v="93"/>
    <n v="2"/>
  </r>
  <r>
    <s v="ORD103"/>
    <d v="2024-04-12T00:00:00"/>
    <s v="CUST103"/>
    <s v="Aahlad"/>
    <x v="0"/>
    <x v="1"/>
    <x v="2"/>
    <n v="3"/>
    <n v="132"/>
    <x v="2"/>
    <n v="1"/>
  </r>
  <r>
    <s v="ORD104"/>
    <d v="2024-04-13T00:00:00"/>
    <s v="CUST104"/>
    <s v="Aahnik"/>
    <x v="1"/>
    <x v="0"/>
    <x v="0"/>
    <n v="2"/>
    <n v="356"/>
    <x v="94"/>
    <n v="2"/>
  </r>
  <r>
    <s v="ORD105"/>
    <d v="2024-04-14T00:00:00"/>
    <s v="CUST105"/>
    <s v="Aahva"/>
    <x v="0"/>
    <x v="2"/>
    <x v="4"/>
    <n v="1"/>
    <n v="16"/>
    <x v="68"/>
    <n v="2"/>
  </r>
  <r>
    <s v="ORD106"/>
    <d v="2024-04-15T00:00:00"/>
    <s v="CUST106"/>
    <s v="Aahvan"/>
    <x v="1"/>
    <x v="0"/>
    <x v="0"/>
    <n v="4"/>
    <n v="317"/>
    <x v="95"/>
    <n v="2"/>
  </r>
  <r>
    <s v="ORD107"/>
    <d v="2024-04-16T00:00:00"/>
    <s v="CUST107"/>
    <s v="Aahwaanith"/>
    <x v="0"/>
    <x v="2"/>
    <x v="6"/>
    <n v="3"/>
    <n v="36"/>
    <x v="96"/>
    <n v="2"/>
  </r>
  <r>
    <s v="ORD108"/>
    <d v="2024-04-17T00:00:00"/>
    <s v="CUST108"/>
    <s v="Aairathan"/>
    <x v="1"/>
    <x v="2"/>
    <x v="7"/>
    <n v="3"/>
    <n v="28"/>
    <x v="97"/>
    <n v="1"/>
  </r>
  <r>
    <s v="ORD109"/>
    <d v="2024-04-18T00:00:00"/>
    <s v="CUST109"/>
    <s v="Aaish"/>
    <x v="1"/>
    <x v="2"/>
    <x v="4"/>
    <n v="5"/>
    <n v="38"/>
    <x v="35"/>
    <n v="4"/>
  </r>
  <r>
    <s v="ORD110"/>
    <d v="2024-04-19T00:00:00"/>
    <s v="CUST110"/>
    <s v="Aajeevan"/>
    <x v="1"/>
    <x v="1"/>
    <x v="2"/>
    <n v="3"/>
    <n v="130"/>
    <x v="98"/>
    <n v="3"/>
  </r>
  <r>
    <s v="ORD111"/>
    <d v="2024-04-20T00:00:00"/>
    <s v="CUST111"/>
    <s v="Aakaar"/>
    <x v="0"/>
    <x v="0"/>
    <x v="0"/>
    <n v="4"/>
    <n v="488"/>
    <x v="99"/>
    <n v="3"/>
  </r>
  <r>
    <s v="ORD112"/>
    <d v="2024-04-21T00:00:00"/>
    <s v="CUST112"/>
    <s v="Aakaash"/>
    <x v="1"/>
    <x v="0"/>
    <x v="0"/>
    <n v="3"/>
    <n v="297"/>
    <x v="100"/>
    <n v="1"/>
  </r>
  <r>
    <s v="ORD113"/>
    <d v="2024-04-22T00:00:00"/>
    <s v="CUST113"/>
    <s v="Aakampan"/>
    <x v="1"/>
    <x v="0"/>
    <x v="0"/>
    <n v="3"/>
    <n v="211"/>
    <x v="101"/>
    <n v="1"/>
  </r>
  <r>
    <s v="ORD114"/>
    <d v="2024-04-23T00:00:00"/>
    <s v="CUST114"/>
    <s v="Aakanksh"/>
    <x v="1"/>
    <x v="0"/>
    <x v="3"/>
    <n v="1"/>
    <n v="392"/>
    <x v="102"/>
    <n v="2"/>
  </r>
  <r>
    <s v="ORD115"/>
    <d v="2024-04-24T00:00:00"/>
    <s v="CUST115"/>
    <s v="Aakar"/>
    <x v="0"/>
    <x v="1"/>
    <x v="5"/>
    <n v="2"/>
    <n v="236"/>
    <x v="103"/>
    <n v="3"/>
  </r>
  <r>
    <s v="ORD116"/>
    <d v="2024-04-25T00:00:00"/>
    <s v="CUST116"/>
    <s v="Aakarsh"/>
    <x v="0"/>
    <x v="2"/>
    <x v="7"/>
    <n v="4"/>
    <n v="32"/>
    <x v="104"/>
    <n v="2"/>
  </r>
  <r>
    <s v="ORD117"/>
    <d v="2024-04-26T00:00:00"/>
    <s v="CUST117"/>
    <s v="Aakarshak"/>
    <x v="0"/>
    <x v="1"/>
    <x v="8"/>
    <n v="5"/>
    <n v="219"/>
    <x v="105"/>
    <n v="1"/>
  </r>
  <r>
    <s v="ORD118"/>
    <d v="2024-04-27T00:00:00"/>
    <s v="CUST118"/>
    <s v="Aakarshan"/>
    <x v="1"/>
    <x v="1"/>
    <x v="8"/>
    <n v="4"/>
    <n v="234"/>
    <x v="106"/>
    <n v="3"/>
  </r>
  <r>
    <s v="ORD119"/>
    <d v="2024-04-28T00:00:00"/>
    <s v="CUST119"/>
    <s v="Aakash"/>
    <x v="1"/>
    <x v="0"/>
    <x v="1"/>
    <n v="4"/>
    <n v="409"/>
    <x v="107"/>
    <n v="2"/>
  </r>
  <r>
    <s v="ORD120"/>
    <d v="2024-04-29T00:00:00"/>
    <s v="CUST120"/>
    <s v="Aakashi"/>
    <x v="1"/>
    <x v="2"/>
    <x v="7"/>
    <n v="1"/>
    <n v="20"/>
    <x v="78"/>
    <n v="2"/>
  </r>
  <r>
    <s v="ORD121"/>
    <d v="2024-04-30T00:00:00"/>
    <s v="CUST121"/>
    <s v="Aakesh"/>
    <x v="0"/>
    <x v="0"/>
    <x v="3"/>
    <n v="2"/>
    <n v="498"/>
    <x v="108"/>
    <n v="2"/>
  </r>
  <r>
    <s v="ORD122"/>
    <d v="2024-05-01T00:00:00"/>
    <s v="CUST122"/>
    <s v="Aakhyaan"/>
    <x v="0"/>
    <x v="1"/>
    <x v="5"/>
    <n v="5"/>
    <n v="224"/>
    <x v="109"/>
    <n v="2"/>
  </r>
  <r>
    <s v="ORD123"/>
    <d v="2024-05-02T00:00:00"/>
    <s v="CUST123"/>
    <s v="Aakshat"/>
    <x v="0"/>
    <x v="0"/>
    <x v="1"/>
    <n v="4"/>
    <n v="225"/>
    <x v="110"/>
    <n v="3"/>
  </r>
  <r>
    <s v="ORD124"/>
    <d v="2024-05-03T00:00:00"/>
    <s v="CUST124"/>
    <s v="Aalakshya"/>
    <x v="1"/>
    <x v="1"/>
    <x v="2"/>
    <n v="1"/>
    <n v="190"/>
    <x v="35"/>
    <n v="1"/>
  </r>
  <r>
    <s v="ORD125"/>
    <d v="2024-05-04T00:00:00"/>
    <s v="CUST125"/>
    <s v="Aalam"/>
    <x v="0"/>
    <x v="2"/>
    <x v="6"/>
    <n v="5"/>
    <n v="45"/>
    <x v="26"/>
    <n v="2"/>
  </r>
  <r>
    <s v="ORD126"/>
    <d v="2024-05-05T00:00:00"/>
    <s v="CUST126"/>
    <s v="Alam"/>
    <x v="0"/>
    <x v="1"/>
    <x v="8"/>
    <n v="5"/>
    <n v="203"/>
    <x v="111"/>
    <n v="4"/>
  </r>
  <r>
    <s v="ORD127"/>
    <d v="2024-05-06T00:00:00"/>
    <s v="CUST127"/>
    <s v="Aalamarchelvan"/>
    <x v="0"/>
    <x v="2"/>
    <x v="4"/>
    <n v="2"/>
    <n v="32"/>
    <x v="112"/>
    <n v="2"/>
  </r>
  <r>
    <s v="ORD128"/>
    <d v="2024-05-07T00:00:00"/>
    <s v="CUST128"/>
    <s v="Aalamb"/>
    <x v="0"/>
    <x v="2"/>
    <x v="6"/>
    <n v="1"/>
    <n v="17"/>
    <x v="113"/>
    <n v="5"/>
  </r>
  <r>
    <s v="ORD129"/>
    <d v="2024-05-08T00:00:00"/>
    <s v="CUST129"/>
    <s v="Aalan"/>
    <x v="0"/>
    <x v="0"/>
    <x v="1"/>
    <n v="5"/>
    <n v="375"/>
    <x v="114"/>
    <n v="1"/>
  </r>
  <r>
    <s v="ORD130"/>
    <d v="2024-05-09T00:00:00"/>
    <s v="CUST130"/>
    <s v="Aalap"/>
    <x v="0"/>
    <x v="0"/>
    <x v="1"/>
    <n v="1"/>
    <n v="484"/>
    <x v="115"/>
    <n v="1"/>
  </r>
  <r>
    <s v="ORD131"/>
    <d v="2024-05-10T00:00:00"/>
    <s v="CUST131"/>
    <s v="Aalay"/>
    <x v="0"/>
    <x v="0"/>
    <x v="3"/>
    <n v="3"/>
    <n v="204"/>
    <x v="66"/>
    <n v="2"/>
  </r>
  <r>
    <s v="ORD132"/>
    <d v="2024-05-11T00:00:00"/>
    <s v="CUST132"/>
    <s v="Aalee"/>
    <x v="0"/>
    <x v="2"/>
    <x v="6"/>
    <n v="1"/>
    <n v="13"/>
    <x v="116"/>
    <n v="1"/>
  </r>
  <r>
    <s v="ORD133"/>
    <d v="2024-05-12T00:00:00"/>
    <s v="CUST133"/>
    <s v="Aalekh"/>
    <x v="0"/>
    <x v="1"/>
    <x v="2"/>
    <n v="3"/>
    <n v="212"/>
    <x v="0"/>
    <n v="1"/>
  </r>
  <r>
    <s v="ORD134"/>
    <d v="2024-05-13T00:00:00"/>
    <s v="CUST134"/>
    <s v="Aalhad"/>
    <x v="0"/>
    <x v="2"/>
    <x v="7"/>
    <n v="2"/>
    <n v="27"/>
    <x v="117"/>
    <n v="1"/>
  </r>
  <r>
    <s v="ORD135"/>
    <d v="2024-05-14T00:00:00"/>
    <s v="CUST135"/>
    <s v="Aalim"/>
    <x v="0"/>
    <x v="2"/>
    <x v="4"/>
    <n v="5"/>
    <n v="35"/>
    <x v="118"/>
    <n v="1"/>
  </r>
  <r>
    <s v="ORD136"/>
    <d v="2024-05-15T00:00:00"/>
    <s v="CUST136"/>
    <s v="Aaliyan"/>
    <x v="1"/>
    <x v="2"/>
    <x v="6"/>
    <n v="4"/>
    <n v="19"/>
    <x v="119"/>
    <n v="1"/>
  </r>
  <r>
    <s v="ORD137"/>
    <d v="2024-05-16T00:00:00"/>
    <s v="CUST137"/>
    <s v="Aalliyan"/>
    <x v="1"/>
    <x v="2"/>
    <x v="7"/>
    <n v="1"/>
    <n v="30"/>
    <x v="24"/>
    <n v="2"/>
  </r>
  <r>
    <s v="ORD138"/>
    <d v="2024-05-17T00:00:00"/>
    <s v="CUST138"/>
    <s v="Aalok"/>
    <x v="0"/>
    <x v="1"/>
    <x v="8"/>
    <n v="5"/>
    <n v="219"/>
    <x v="105"/>
    <n v="5"/>
  </r>
  <r>
    <s v="ORD139"/>
    <d v="2024-05-18T00:00:00"/>
    <s v="CUST139"/>
    <s v="Aalop"/>
    <x v="0"/>
    <x v="1"/>
    <x v="5"/>
    <n v="1"/>
    <n v="146"/>
    <x v="120"/>
    <n v="1"/>
  </r>
  <r>
    <s v="ORD140"/>
    <d v="2024-05-19T00:00:00"/>
    <s v="CUST140"/>
    <s v="Aamil"/>
    <x v="0"/>
    <x v="1"/>
    <x v="2"/>
    <n v="1"/>
    <n v="262"/>
    <x v="121"/>
    <n v="2"/>
  </r>
  <r>
    <s v="ORD141"/>
    <d v="2024-05-20T00:00:00"/>
    <s v="CUST141"/>
    <s v="Aamir"/>
    <x v="0"/>
    <x v="1"/>
    <x v="8"/>
    <n v="1"/>
    <n v="121"/>
    <x v="122"/>
    <n v="3"/>
  </r>
  <r>
    <s v="ORD142"/>
    <d v="2024-05-21T00:00:00"/>
    <s v="CUST142"/>
    <s v="Aamirah"/>
    <x v="1"/>
    <x v="1"/>
    <x v="2"/>
    <n v="1"/>
    <n v="129"/>
    <x v="123"/>
    <n v="4"/>
  </r>
  <r>
    <s v="ORD143"/>
    <d v="2024-05-22T00:00:00"/>
    <s v="CUST143"/>
    <s v="Aamish"/>
    <x v="0"/>
    <x v="1"/>
    <x v="2"/>
    <n v="2"/>
    <n v="226"/>
    <x v="124"/>
    <n v="1"/>
  </r>
  <r>
    <s v="ORD144"/>
    <d v="2024-05-23T00:00:00"/>
    <s v="CUST144"/>
    <s v="Aamod"/>
    <x v="0"/>
    <x v="0"/>
    <x v="1"/>
    <n v="4"/>
    <n v="329"/>
    <x v="125"/>
    <n v="4"/>
  </r>
  <r>
    <s v="ORD145"/>
    <d v="2024-05-24T00:00:00"/>
    <s v="CUST145"/>
    <s v="Aamodh"/>
    <x v="0"/>
    <x v="0"/>
    <x v="1"/>
    <n v="5"/>
    <n v="361"/>
    <x v="126"/>
    <n v="2"/>
  </r>
  <r>
    <s v="ORD146"/>
    <d v="2024-05-25T00:00:00"/>
    <s v="CUST146"/>
    <s v="Aamodin"/>
    <x v="0"/>
    <x v="2"/>
    <x v="6"/>
    <n v="4"/>
    <n v="44"/>
    <x v="41"/>
    <n v="1"/>
  </r>
  <r>
    <s v="ORD147"/>
    <d v="2024-05-26T00:00:00"/>
    <s v="CUST147"/>
    <s v="Aamogh"/>
    <x v="1"/>
    <x v="1"/>
    <x v="2"/>
    <n v="5"/>
    <n v="105"/>
    <x v="127"/>
    <n v="2"/>
  </r>
  <r>
    <s v="ORD148"/>
    <d v="2024-05-27T00:00:00"/>
    <s v="CUST148"/>
    <s v="Aan"/>
    <x v="0"/>
    <x v="0"/>
    <x v="1"/>
    <n v="2"/>
    <n v="202"/>
    <x v="128"/>
    <n v="1"/>
  </r>
  <r>
    <s v="ORD149"/>
    <d v="2024-05-28T00:00:00"/>
    <s v="CUST149"/>
    <s v="Aanand"/>
    <x v="0"/>
    <x v="0"/>
    <x v="0"/>
    <n v="5"/>
    <n v="274"/>
    <x v="129"/>
    <n v="3"/>
  </r>
  <r>
    <s v="ORD150"/>
    <d v="2024-05-29T00:00:00"/>
    <s v="CUST150"/>
    <s v="Aanandaswarup"/>
    <x v="0"/>
    <x v="1"/>
    <x v="2"/>
    <n v="3"/>
    <n v="147"/>
    <x v="130"/>
    <n v="1"/>
  </r>
  <r>
    <s v="ORD151"/>
    <d v="2024-05-30T00:00:00"/>
    <s v="CUST151"/>
    <s v="Anand Swarup"/>
    <x v="0"/>
    <x v="1"/>
    <x v="8"/>
    <n v="2"/>
    <n v="105"/>
    <x v="131"/>
    <n v="2"/>
  </r>
  <r>
    <s v="ORD152"/>
    <d v="2024-05-31T00:00:00"/>
    <s v="CUST152"/>
    <s v="Aanandit"/>
    <x v="0"/>
    <x v="2"/>
    <x v="6"/>
    <n v="4"/>
    <n v="16"/>
    <x v="112"/>
    <n v="2"/>
  </r>
  <r>
    <s v="ORD153"/>
    <d v="2024-06-01T00:00:00"/>
    <s v="CUST153"/>
    <s v="Aanandswarup"/>
    <x v="0"/>
    <x v="2"/>
    <x v="6"/>
    <n v="5"/>
    <n v="32"/>
    <x v="132"/>
    <n v="1"/>
  </r>
  <r>
    <s v="ORD154"/>
    <d v="2024-06-02T00:00:00"/>
    <s v="CUST154"/>
    <s v="Aananth"/>
    <x v="1"/>
    <x v="2"/>
    <x v="6"/>
    <n v="2"/>
    <n v="41"/>
    <x v="133"/>
    <n v="3"/>
  </r>
  <r>
    <s v="ORD155"/>
    <d v="2024-06-03T00:00:00"/>
    <s v="CUST155"/>
    <s v="Aanantya"/>
    <x v="1"/>
    <x v="1"/>
    <x v="2"/>
    <n v="3"/>
    <n v="206"/>
    <x v="134"/>
    <n v="2"/>
  </r>
  <r>
    <s v="ORD156"/>
    <d v="2024-06-04T00:00:00"/>
    <s v="CUST156"/>
    <s v="Aanathan"/>
    <x v="1"/>
    <x v="0"/>
    <x v="1"/>
    <n v="2"/>
    <n v="324"/>
    <x v="135"/>
    <n v="2"/>
  </r>
  <r>
    <s v="ORD157"/>
    <d v="2024-06-05T00:00:00"/>
    <s v="CUST157"/>
    <s v="Aanav"/>
    <x v="1"/>
    <x v="1"/>
    <x v="2"/>
    <n v="4"/>
    <n v="270"/>
    <x v="136"/>
    <n v="1"/>
  </r>
  <r>
    <s v="ORD158"/>
    <d v="2024-06-06T00:00:00"/>
    <s v="CUST158"/>
    <s v="Aanay"/>
    <x v="0"/>
    <x v="1"/>
    <x v="8"/>
    <n v="3"/>
    <n v="209"/>
    <x v="137"/>
    <n v="1"/>
  </r>
  <r>
    <s v="ORD159"/>
    <d v="2024-06-07T00:00:00"/>
    <s v="CUST159"/>
    <s v="Aandaleeb"/>
    <x v="0"/>
    <x v="0"/>
    <x v="0"/>
    <n v="4"/>
    <n v="218"/>
    <x v="138"/>
    <n v="2"/>
  </r>
  <r>
    <s v="ORD160"/>
    <d v="2024-06-08T00:00:00"/>
    <s v="CUST160"/>
    <s v="Aandi"/>
    <x v="1"/>
    <x v="0"/>
    <x v="1"/>
    <n v="4"/>
    <n v="236"/>
    <x v="139"/>
    <n v="1"/>
  </r>
  <r>
    <s v="ORD161"/>
    <d v="2024-06-09T00:00:00"/>
    <s v="CUST161"/>
    <s v="Aangat"/>
    <x v="0"/>
    <x v="1"/>
    <x v="8"/>
    <n v="2"/>
    <n v="168"/>
    <x v="140"/>
    <n v="1"/>
  </r>
  <r>
    <s v="ORD162"/>
    <d v="2024-06-10T00:00:00"/>
    <s v="CUST162"/>
    <s v="Aanick"/>
    <x v="1"/>
    <x v="1"/>
    <x v="8"/>
    <n v="5"/>
    <n v="241"/>
    <x v="141"/>
    <n v="3"/>
  </r>
  <r>
    <s v="ORD163"/>
    <d v="2024-06-11T00:00:00"/>
    <s v="CUST163"/>
    <s v="Aanjaneya"/>
    <x v="1"/>
    <x v="0"/>
    <x v="3"/>
    <n v="2"/>
    <n v="419"/>
    <x v="142"/>
    <n v="2"/>
  </r>
  <r>
    <s v="ORD164"/>
    <d v="2024-06-12T00:00:00"/>
    <s v="CUST164"/>
    <s v="Aanjaneya"/>
    <x v="0"/>
    <x v="2"/>
    <x v="4"/>
    <n v="5"/>
    <n v="22"/>
    <x v="143"/>
    <n v="1"/>
  </r>
  <r>
    <s v="ORD165"/>
    <d v="2024-06-13T00:00:00"/>
    <s v="CUST165"/>
    <s v="Anjaneya"/>
    <x v="1"/>
    <x v="1"/>
    <x v="8"/>
    <n v="2"/>
    <n v="121"/>
    <x v="144"/>
    <n v="1"/>
  </r>
  <r>
    <s v="ORD166"/>
    <d v="2024-06-14T00:00:00"/>
    <s v="CUST166"/>
    <s v="Aanjay"/>
    <x v="0"/>
    <x v="0"/>
    <x v="0"/>
    <n v="2"/>
    <n v="433"/>
    <x v="145"/>
    <n v="1"/>
  </r>
  <r>
    <s v="ORD167"/>
    <d v="2024-06-15T00:00:00"/>
    <s v="CUST167"/>
    <s v="Aansh"/>
    <x v="0"/>
    <x v="0"/>
    <x v="1"/>
    <n v="1"/>
    <n v="248"/>
    <x v="146"/>
    <n v="1"/>
  </r>
  <r>
    <s v="ORD168"/>
    <d v="2024-06-16T00:00:00"/>
    <s v="CUST168"/>
    <s v="Aantya"/>
    <x v="0"/>
    <x v="2"/>
    <x v="6"/>
    <n v="5"/>
    <n v="45"/>
    <x v="26"/>
    <n v="2"/>
  </r>
  <r>
    <s v="ORD169"/>
    <d v="2024-06-17T00:00:00"/>
    <s v="CUST169"/>
    <s v="Aanush"/>
    <x v="0"/>
    <x v="0"/>
    <x v="1"/>
    <n v="5"/>
    <n v="470"/>
    <x v="147"/>
    <n v="3"/>
  </r>
  <r>
    <s v="ORD170"/>
    <d v="2024-06-18T00:00:00"/>
    <s v="CUST170"/>
    <s v="Aapt"/>
    <x v="0"/>
    <x v="2"/>
    <x v="6"/>
    <n v="2"/>
    <n v="44"/>
    <x v="148"/>
    <n v="3"/>
  </r>
  <r>
    <s v="ORD171"/>
    <d v="2024-06-19T00:00:00"/>
    <s v="CUST171"/>
    <s v="Aapu"/>
    <x v="1"/>
    <x v="0"/>
    <x v="1"/>
    <n v="2"/>
    <n v="367"/>
    <x v="149"/>
    <n v="4"/>
  </r>
  <r>
    <s v="ORD172"/>
    <d v="2024-06-20T00:00:00"/>
    <s v="CUST172"/>
    <s v="Aaqib"/>
    <x v="1"/>
    <x v="2"/>
    <x v="4"/>
    <n v="4"/>
    <n v="26"/>
    <x v="69"/>
    <n v="2"/>
  </r>
  <r>
    <s v="ORD173"/>
    <d v="2024-06-21T00:00:00"/>
    <s v="CUST173"/>
    <s v="Aaqil"/>
    <x v="0"/>
    <x v="0"/>
    <x v="3"/>
    <n v="4"/>
    <n v="348"/>
    <x v="150"/>
    <n v="2"/>
  </r>
  <r>
    <s v="ORD174"/>
    <d v="2024-06-22T00:00:00"/>
    <s v="CUST174"/>
    <s v="Aar"/>
    <x v="1"/>
    <x v="1"/>
    <x v="5"/>
    <n v="4"/>
    <n v="224"/>
    <x v="151"/>
    <n v="1"/>
  </r>
  <r>
    <s v="ORD175"/>
    <d v="2024-06-23T00:00:00"/>
    <s v="CUST175"/>
    <s v="Aaraadhak"/>
    <x v="1"/>
    <x v="0"/>
    <x v="3"/>
    <n v="1"/>
    <n v="330"/>
    <x v="152"/>
    <n v="1"/>
  </r>
  <r>
    <s v="ORD176"/>
    <d v="2024-06-24T00:00:00"/>
    <s v="CUST176"/>
    <s v="Araadhak"/>
    <x v="1"/>
    <x v="2"/>
    <x v="7"/>
    <n v="3"/>
    <n v="49"/>
    <x v="153"/>
    <n v="3"/>
  </r>
  <r>
    <s v="ORD177"/>
    <d v="2024-06-25T00:00:00"/>
    <s v="CUST177"/>
    <s v="Aradhak"/>
    <x v="1"/>
    <x v="2"/>
    <x v="6"/>
    <n v="2"/>
    <n v="24"/>
    <x v="154"/>
    <n v="4"/>
  </r>
  <r>
    <s v="ORD178"/>
    <d v="2024-06-26T00:00:00"/>
    <s v="CUST178"/>
    <s v="Aaradhak"/>
    <x v="0"/>
    <x v="0"/>
    <x v="1"/>
    <n v="5"/>
    <n v="355"/>
    <x v="155"/>
    <n v="2"/>
  </r>
  <r>
    <s v="ORD179"/>
    <d v="2024-06-27T00:00:00"/>
    <s v="CUST179"/>
    <s v="Aaradhy"/>
    <x v="1"/>
    <x v="0"/>
    <x v="3"/>
    <n v="5"/>
    <n v="358"/>
    <x v="156"/>
    <n v="2"/>
  </r>
  <r>
    <s v="ORD180"/>
    <d v="2024-06-28T00:00:00"/>
    <s v="CUST180"/>
    <s v="Aaran"/>
    <x v="1"/>
    <x v="0"/>
    <x v="1"/>
    <n v="4"/>
    <n v="379"/>
    <x v="157"/>
    <n v="2"/>
  </r>
  <r>
    <s v="ORD181"/>
    <d v="2024-06-29T00:00:00"/>
    <s v="CUST181"/>
    <s v="Aaranan"/>
    <x v="0"/>
    <x v="1"/>
    <x v="2"/>
    <n v="3"/>
    <n v="261"/>
    <x v="158"/>
    <n v="2"/>
  </r>
  <r>
    <s v="ORD182"/>
    <d v="2024-06-30T00:00:00"/>
    <s v="CUST182"/>
    <s v="Aaranay"/>
    <x v="0"/>
    <x v="1"/>
    <x v="8"/>
    <n v="2"/>
    <n v="130"/>
    <x v="159"/>
    <n v="3"/>
  </r>
  <r>
    <s v="ORD183"/>
    <d v="2024-07-01T00:00:00"/>
    <s v="CUST183"/>
    <s v="Aaranen"/>
    <x v="1"/>
    <x v="0"/>
    <x v="1"/>
    <n v="4"/>
    <n v="282"/>
    <x v="90"/>
    <n v="2"/>
  </r>
  <r>
    <s v="ORD184"/>
    <d v="2024-07-02T00:00:00"/>
    <s v="CUST184"/>
    <s v="Aaranyan"/>
    <x v="1"/>
    <x v="0"/>
    <x v="0"/>
    <n v="1"/>
    <n v="337"/>
    <x v="160"/>
    <n v="1"/>
  </r>
  <r>
    <s v="ORD185"/>
    <d v="2024-07-03T00:00:00"/>
    <s v="CUST185"/>
    <s v="Aarav"/>
    <x v="1"/>
    <x v="1"/>
    <x v="2"/>
    <n v="2"/>
    <n v="176"/>
    <x v="161"/>
    <n v="1"/>
  </r>
  <r>
    <s v="ORD186"/>
    <d v="2024-07-04T00:00:00"/>
    <s v="CUST186"/>
    <s v="Aaravamuthan"/>
    <x v="0"/>
    <x v="2"/>
    <x v="6"/>
    <n v="3"/>
    <n v="10"/>
    <x v="24"/>
    <n v="2"/>
  </r>
  <r>
    <s v="ORD187"/>
    <d v="2024-07-05T00:00:00"/>
    <s v="CUST187"/>
    <s v="Aarif"/>
    <x v="1"/>
    <x v="1"/>
    <x v="5"/>
    <n v="2"/>
    <n v="216"/>
    <x v="162"/>
    <n v="4"/>
  </r>
  <r>
    <s v="ORD188"/>
    <d v="2024-07-06T00:00:00"/>
    <s v="CUST188"/>
    <s v="Aariket"/>
    <x v="0"/>
    <x v="1"/>
    <x v="8"/>
    <n v="2"/>
    <n v="290"/>
    <x v="163"/>
    <n v="6"/>
  </r>
  <r>
    <s v="ORD189"/>
    <d v="2024-07-07T00:00:00"/>
    <s v="CUST189"/>
    <s v="Aariketh"/>
    <x v="0"/>
    <x v="0"/>
    <x v="1"/>
    <n v="4"/>
    <n v="306"/>
    <x v="44"/>
    <n v="2"/>
  </r>
  <r>
    <s v="ORD190"/>
    <d v="2024-07-08T00:00:00"/>
    <s v="CUST190"/>
    <s v="Aarish"/>
    <x v="1"/>
    <x v="0"/>
    <x v="3"/>
    <n v="2"/>
    <n v="301"/>
    <x v="164"/>
    <n v="2"/>
  </r>
  <r>
    <s v="ORD191"/>
    <d v="2024-07-09T00:00:00"/>
    <s v="CUST191"/>
    <s v="Aarit"/>
    <x v="0"/>
    <x v="0"/>
    <x v="0"/>
    <n v="2"/>
    <n v="289"/>
    <x v="165"/>
    <n v="2"/>
  </r>
  <r>
    <s v="ORD192"/>
    <d v="2024-07-10T00:00:00"/>
    <s v="CUST192"/>
    <s v="Aariv"/>
    <x v="1"/>
    <x v="2"/>
    <x v="6"/>
    <n v="1"/>
    <n v="21"/>
    <x v="166"/>
    <n v="1"/>
  </r>
  <r>
    <s v="ORD193"/>
    <d v="2024-07-11T00:00:00"/>
    <s v="CUST193"/>
    <s v="Aariz"/>
    <x v="1"/>
    <x v="2"/>
    <x v="4"/>
    <n v="1"/>
    <n v="48"/>
    <x v="154"/>
    <n v="4"/>
  </r>
  <r>
    <s v="ORD194"/>
    <d v="2024-07-12T00:00:00"/>
    <s v="CUST194"/>
    <s v="Aarjav"/>
    <x v="1"/>
    <x v="1"/>
    <x v="5"/>
    <n v="5"/>
    <n v="124"/>
    <x v="167"/>
    <n v="3"/>
  </r>
  <r>
    <s v="ORD195"/>
    <d v="2024-07-13T00:00:00"/>
    <s v="CUST195"/>
    <s v="Aarksh"/>
    <x v="0"/>
    <x v="1"/>
    <x v="2"/>
    <n v="3"/>
    <n v="236"/>
    <x v="168"/>
    <n v="1"/>
  </r>
  <r>
    <s v="ORD196"/>
    <d v="2024-07-14T00:00:00"/>
    <s v="CUST196"/>
    <s v="Aarnab"/>
    <x v="1"/>
    <x v="1"/>
    <x v="2"/>
    <n v="1"/>
    <n v="217"/>
    <x v="169"/>
    <n v="2"/>
  </r>
  <r>
    <s v="ORD197"/>
    <d v="2024-07-15T00:00:00"/>
    <s v="CUST197"/>
    <s v="Aarnav"/>
    <x v="0"/>
    <x v="2"/>
    <x v="6"/>
    <n v="3"/>
    <n v="11"/>
    <x v="12"/>
    <n v="4"/>
  </r>
  <r>
    <s v="ORD198"/>
    <d v="2024-07-16T00:00:00"/>
    <s v="CUST198"/>
    <s v="Aarnavi"/>
    <x v="1"/>
    <x v="0"/>
    <x v="3"/>
    <n v="4"/>
    <n v="498"/>
    <x v="170"/>
    <n v="1"/>
  </r>
  <r>
    <s v="ORD199"/>
    <d v="2024-07-17T00:00:00"/>
    <s v="CUST199"/>
    <s v="Aarochan"/>
    <x v="1"/>
    <x v="2"/>
    <x v="7"/>
    <n v="4"/>
    <n v="29"/>
    <x v="171"/>
    <n v="3"/>
  </r>
  <r>
    <s v="ORD200"/>
    <d v="2024-07-18T00:00:00"/>
    <s v="CUST200"/>
    <s v="Aaron"/>
    <x v="0"/>
    <x v="1"/>
    <x v="2"/>
    <n v="4"/>
    <n v="265"/>
    <x v="85"/>
    <n v="2"/>
  </r>
  <r>
    <s v="ORD201"/>
    <d v="2024-07-19T00:00:00"/>
    <s v="CUST201"/>
    <s v="Aarooran"/>
    <x v="1"/>
    <x v="0"/>
    <x v="1"/>
    <n v="4"/>
    <n v="205"/>
    <x v="172"/>
    <n v="1"/>
  </r>
  <r>
    <s v="ORD202"/>
    <d v="2024-07-20T00:00:00"/>
    <s v="CUST202"/>
    <s v="Aaroush"/>
    <x v="0"/>
    <x v="2"/>
    <x v="7"/>
    <n v="4"/>
    <n v="30"/>
    <x v="173"/>
    <n v="3"/>
  </r>
  <r>
    <s v="ORD203"/>
    <d v="2024-07-21T00:00:00"/>
    <s v="CUST203"/>
    <s v="Aarpit"/>
    <x v="1"/>
    <x v="0"/>
    <x v="0"/>
    <n v="3"/>
    <n v="223"/>
    <x v="174"/>
    <n v="1"/>
  </r>
  <r>
    <s v="ORD204"/>
    <d v="2024-07-22T00:00:00"/>
    <s v="CUST204"/>
    <s v="Aarpit"/>
    <x v="1"/>
    <x v="2"/>
    <x v="4"/>
    <n v="3"/>
    <n v="12"/>
    <x v="13"/>
    <n v="4"/>
  </r>
  <r>
    <s v="ORD205"/>
    <d v="2024-07-23T00:00:00"/>
    <s v="CUST205"/>
    <s v="Arpit"/>
    <x v="1"/>
    <x v="0"/>
    <x v="0"/>
    <n v="1"/>
    <n v="404"/>
    <x v="128"/>
    <n v="1"/>
  </r>
  <r>
    <s v="ORD206"/>
    <d v="2024-07-24T00:00:00"/>
    <s v="CUST206"/>
    <s v="Aarsh"/>
    <x v="1"/>
    <x v="2"/>
    <x v="7"/>
    <n v="3"/>
    <n v="18"/>
    <x v="117"/>
    <n v="3"/>
  </r>
  <r>
    <s v="ORD207"/>
    <d v="2024-07-25T00:00:00"/>
    <s v="CUST207"/>
    <s v="Aarshabh"/>
    <x v="0"/>
    <x v="0"/>
    <x v="3"/>
    <n v="2"/>
    <n v="223"/>
    <x v="175"/>
    <n v="3"/>
  </r>
  <r>
    <s v="ORD208"/>
    <d v="2024-07-26T00:00:00"/>
    <s v="CUST208"/>
    <s v="Aarshin"/>
    <x v="1"/>
    <x v="1"/>
    <x v="8"/>
    <n v="2"/>
    <n v="281"/>
    <x v="176"/>
    <n v="1"/>
  </r>
  <r>
    <s v="ORD209"/>
    <d v="2024-07-27T00:00:00"/>
    <s v="CUST209"/>
    <s v="Aarth"/>
    <x v="1"/>
    <x v="0"/>
    <x v="0"/>
    <n v="4"/>
    <n v="400"/>
    <x v="177"/>
    <n v="2"/>
  </r>
  <r>
    <s v="ORD210"/>
    <d v="2024-07-28T00:00:00"/>
    <s v="CUST210"/>
    <s v="Aartheepan"/>
    <x v="1"/>
    <x v="2"/>
    <x v="6"/>
    <n v="1"/>
    <n v="33"/>
    <x v="12"/>
    <n v="3"/>
  </r>
  <r>
    <s v="ORD211"/>
    <d v="2024-07-29T00:00:00"/>
    <s v="CUST211"/>
    <s v="Aarthikan"/>
    <x v="0"/>
    <x v="1"/>
    <x v="5"/>
    <n v="4"/>
    <n v="250"/>
    <x v="86"/>
    <n v="1"/>
  </r>
  <r>
    <s v="ORD212"/>
    <d v="2024-07-30T00:00:00"/>
    <s v="CUST212"/>
    <s v="Aartraloon"/>
    <x v="1"/>
    <x v="1"/>
    <x v="8"/>
    <n v="4"/>
    <n v="117"/>
    <x v="9"/>
    <n v="2"/>
  </r>
  <r>
    <s v="ORD213"/>
    <d v="2024-07-31T00:00:00"/>
    <s v="CUST213"/>
    <s v="Aarujan"/>
    <x v="0"/>
    <x v="1"/>
    <x v="8"/>
    <n v="1"/>
    <n v="126"/>
    <x v="178"/>
    <n v="1"/>
  </r>
  <r>
    <s v="ORD214"/>
    <d v="2024-08-01T00:00:00"/>
    <s v="CUST214"/>
    <s v="Aarul"/>
    <x v="1"/>
    <x v="1"/>
    <x v="2"/>
    <n v="4"/>
    <n v="217"/>
    <x v="179"/>
    <n v="2"/>
  </r>
  <r>
    <s v="ORD215"/>
    <d v="2024-08-02T00:00:00"/>
    <s v="CUST215"/>
    <s v="Aaruran"/>
    <x v="1"/>
    <x v="1"/>
    <x v="5"/>
    <n v="4"/>
    <n v="108"/>
    <x v="162"/>
    <n v="2"/>
  </r>
  <r>
    <s v="ORD216"/>
    <d v="2024-08-03T00:00:00"/>
    <s v="CUST216"/>
    <s v="Aarush"/>
    <x v="0"/>
    <x v="2"/>
    <x v="4"/>
    <n v="1"/>
    <n v="44"/>
    <x v="83"/>
    <n v="5"/>
  </r>
  <r>
    <s v="ORD217"/>
    <d v="2024-08-04T00:00:00"/>
    <s v="CUST217"/>
    <s v="Aarushan"/>
    <x v="0"/>
    <x v="1"/>
    <x v="8"/>
    <n v="3"/>
    <n v="112"/>
    <x v="140"/>
    <n v="1"/>
  </r>
  <r>
    <s v="ORD218"/>
    <d v="2024-08-05T00:00:00"/>
    <s v="CUST218"/>
    <s v="Aaruthan"/>
    <x v="0"/>
    <x v="1"/>
    <x v="5"/>
    <n v="4"/>
    <n v="112"/>
    <x v="180"/>
    <n v="1"/>
  </r>
  <r>
    <s v="ORD219"/>
    <d v="2024-08-06T00:00:00"/>
    <s v="CUST219"/>
    <s v="Aaruthra"/>
    <x v="0"/>
    <x v="0"/>
    <x v="0"/>
    <n v="2"/>
    <n v="392"/>
    <x v="181"/>
    <n v="2"/>
  </r>
  <r>
    <s v="ORD220"/>
    <d v="2024-08-07T00:00:00"/>
    <s v="CUST220"/>
    <s v="Aaruthran"/>
    <x v="0"/>
    <x v="2"/>
    <x v="7"/>
    <n v="5"/>
    <n v="47"/>
    <x v="182"/>
    <n v="3"/>
  </r>
  <r>
    <s v="ORD221"/>
    <d v="2024-08-08T00:00:00"/>
    <s v="CUST221"/>
    <s v="Aarvalan"/>
    <x v="1"/>
    <x v="0"/>
    <x v="1"/>
    <n v="5"/>
    <n v="212"/>
    <x v="85"/>
    <n v="1"/>
  </r>
  <r>
    <s v="ORD222"/>
    <d v="2024-08-09T00:00:00"/>
    <s v="CUST222"/>
    <s v="Aarya"/>
    <x v="1"/>
    <x v="2"/>
    <x v="6"/>
    <n v="5"/>
    <n v="15"/>
    <x v="183"/>
    <n v="1"/>
  </r>
  <r>
    <s v="ORD223"/>
    <d v="2024-08-10T00:00:00"/>
    <s v="CUST223"/>
    <s v="Aaryaa"/>
    <x v="1"/>
    <x v="1"/>
    <x v="8"/>
    <n v="1"/>
    <n v="245"/>
    <x v="184"/>
    <n v="1"/>
  </r>
  <r>
    <s v="ORD224"/>
    <d v="2024-08-11T00:00:00"/>
    <s v="CUST224"/>
    <s v="Aaryak"/>
    <x v="0"/>
    <x v="0"/>
    <x v="0"/>
    <n v="5"/>
    <n v="452"/>
    <x v="185"/>
    <n v="2"/>
  </r>
  <r>
    <s v="ORD225"/>
    <d v="2024-08-12T00:00:00"/>
    <s v="CUST225"/>
    <s v="Aaryaman"/>
    <x v="0"/>
    <x v="1"/>
    <x v="8"/>
    <n v="3"/>
    <n v="204"/>
    <x v="66"/>
    <n v="2"/>
  </r>
  <r>
    <s v="ORD226"/>
    <d v="2024-08-13T00:00:00"/>
    <s v="CUST226"/>
    <s v="Aaryamik"/>
    <x v="1"/>
    <x v="2"/>
    <x v="6"/>
    <n v="1"/>
    <n v="17"/>
    <x v="113"/>
    <n v="1"/>
  </r>
  <r>
    <s v="ORD227"/>
    <d v="2024-08-14T00:00:00"/>
    <s v="CUST227"/>
    <s v="Aaryan"/>
    <x v="1"/>
    <x v="0"/>
    <x v="1"/>
    <n v="2"/>
    <n v="354"/>
    <x v="168"/>
    <n v="1"/>
  </r>
  <r>
    <s v="ORD228"/>
    <d v="2024-08-15T00:00:00"/>
    <s v="CUST228"/>
    <s v="Aaryan"/>
    <x v="1"/>
    <x v="2"/>
    <x v="6"/>
    <n v="2"/>
    <n v="48"/>
    <x v="34"/>
    <n v="3"/>
  </r>
  <r>
    <s v="ORD229"/>
    <d v="2024-08-16T00:00:00"/>
    <s v="CUST229"/>
    <s v="Aryan"/>
    <x v="0"/>
    <x v="1"/>
    <x v="8"/>
    <n v="1"/>
    <n v="146"/>
    <x v="120"/>
    <n v="2"/>
  </r>
  <r>
    <s v="ORD230"/>
    <d v="2024-08-17T00:00:00"/>
    <s v="CUST230"/>
    <s v="Aaryav"/>
    <x v="0"/>
    <x v="1"/>
    <x v="2"/>
    <n v="2"/>
    <n v="241"/>
    <x v="186"/>
    <n v="1"/>
  </r>
  <r>
    <s v="ORD231"/>
    <d v="2024-08-18T00:00:00"/>
    <s v="CUST231"/>
    <s v="Aaryaveer"/>
    <x v="1"/>
    <x v="2"/>
    <x v="6"/>
    <n v="5"/>
    <n v="35"/>
    <x v="118"/>
    <n v="3"/>
  </r>
  <r>
    <s v="ORD232"/>
    <d v="2024-08-19T00:00:00"/>
    <s v="CUST232"/>
    <s v="Aaryavir"/>
    <x v="0"/>
    <x v="0"/>
    <x v="0"/>
    <n v="4"/>
    <n v="289"/>
    <x v="187"/>
    <n v="2"/>
  </r>
  <r>
    <s v="ORD233"/>
    <d v="2024-08-20T00:00:00"/>
    <s v="CUST233"/>
    <s v="Aaryesh"/>
    <x v="1"/>
    <x v="1"/>
    <x v="5"/>
    <n v="1"/>
    <n v="270"/>
    <x v="188"/>
    <n v="1"/>
  </r>
  <r>
    <s v="ORD234"/>
    <d v="2024-08-21T00:00:00"/>
    <s v="CUST234"/>
    <s v="Aaryik"/>
    <x v="1"/>
    <x v="1"/>
    <x v="5"/>
    <n v="1"/>
    <n v="235"/>
    <x v="182"/>
    <n v="4"/>
  </r>
  <r>
    <s v="ORD235"/>
    <d v="2024-08-22T00:00:00"/>
    <s v="CUST235"/>
    <s v="Aasav"/>
    <x v="1"/>
    <x v="1"/>
    <x v="5"/>
    <n v="1"/>
    <n v="245"/>
    <x v="184"/>
    <n v="3"/>
  </r>
  <r>
    <s v="ORD236"/>
    <d v="2024-08-23T00:00:00"/>
    <s v="CUST236"/>
    <s v="Aashang"/>
    <x v="0"/>
    <x v="1"/>
    <x v="5"/>
    <n v="1"/>
    <n v="270"/>
    <x v="188"/>
    <n v="2"/>
  </r>
  <r>
    <s v="ORD237"/>
    <d v="2024-08-24T00:00:00"/>
    <s v="CUST237"/>
    <s v="Aashank"/>
    <x v="0"/>
    <x v="0"/>
    <x v="1"/>
    <n v="3"/>
    <n v="216"/>
    <x v="135"/>
    <n v="1"/>
  </r>
  <r>
    <s v="ORD238"/>
    <d v="2024-08-25T00:00:00"/>
    <s v="CUST238"/>
    <s v="Aashay"/>
    <x v="1"/>
    <x v="2"/>
    <x v="6"/>
    <n v="1"/>
    <n v="27"/>
    <x v="189"/>
    <n v="1"/>
  </r>
  <r>
    <s v="ORD239"/>
    <d v="2024-08-26T00:00:00"/>
    <s v="CUST239"/>
    <s v="Aashif"/>
    <x v="0"/>
    <x v="2"/>
    <x v="6"/>
    <n v="3"/>
    <n v="14"/>
    <x v="190"/>
    <n v="1"/>
  </r>
  <r>
    <s v="ORD240"/>
    <d v="2024-08-27T00:00:00"/>
    <s v="CUST240"/>
    <s v="Aashir"/>
    <x v="0"/>
    <x v="2"/>
    <x v="7"/>
    <n v="5"/>
    <n v="28"/>
    <x v="191"/>
    <n v="2"/>
  </r>
  <r>
    <s v="ORD241"/>
    <d v="2024-08-28T00:00:00"/>
    <s v="CUST241"/>
    <s v="Aashirvad"/>
    <x v="0"/>
    <x v="1"/>
    <x v="5"/>
    <n v="4"/>
    <n v="222"/>
    <x v="192"/>
    <n v="4"/>
  </r>
  <r>
    <s v="ORD242"/>
    <d v="2024-08-29T00:00:00"/>
    <s v="CUST242"/>
    <s v="Aashish"/>
    <x v="0"/>
    <x v="2"/>
    <x v="6"/>
    <n v="3"/>
    <n v="17"/>
    <x v="193"/>
    <n v="4"/>
  </r>
  <r>
    <s v="ORD243"/>
    <d v="2024-08-30T00:00:00"/>
    <s v="CUST243"/>
    <s v="Aashish"/>
    <x v="1"/>
    <x v="1"/>
    <x v="8"/>
    <n v="4"/>
    <n v="182"/>
    <x v="194"/>
    <n v="1"/>
  </r>
  <r>
    <s v="ORD244"/>
    <d v="2024-08-31T00:00:00"/>
    <s v="CUST244"/>
    <s v="Ashish"/>
    <x v="0"/>
    <x v="2"/>
    <x v="4"/>
    <n v="5"/>
    <n v="48"/>
    <x v="74"/>
    <n v="2"/>
  </r>
  <r>
    <s v="ORD245"/>
    <d v="2024-09-01T00:00:00"/>
    <s v="CUST245"/>
    <s v="Asheesh"/>
    <x v="1"/>
    <x v="1"/>
    <x v="5"/>
    <n v="1"/>
    <n v="212"/>
    <x v="195"/>
    <n v="3"/>
  </r>
  <r>
    <s v="ORD246"/>
    <d v="2024-09-02T00:00:00"/>
    <s v="CUST246"/>
    <s v="Aashlesh"/>
    <x v="0"/>
    <x v="1"/>
    <x v="5"/>
    <n v="2"/>
    <n v="180"/>
    <x v="196"/>
    <n v="1"/>
  </r>
  <r>
    <s v="ORD247"/>
    <d v="2024-09-03T00:00:00"/>
    <s v="CUST247"/>
    <s v="Aashman"/>
    <x v="1"/>
    <x v="1"/>
    <x v="2"/>
    <n v="2"/>
    <n v="292"/>
    <x v="197"/>
    <n v="3"/>
  </r>
  <r>
    <s v="ORD248"/>
    <d v="2024-09-04T00:00:00"/>
    <s v="CUST248"/>
    <s v="Aashray"/>
    <x v="0"/>
    <x v="1"/>
    <x v="5"/>
    <n v="4"/>
    <n v="161"/>
    <x v="198"/>
    <n v="1"/>
  </r>
  <r>
    <s v="ORD249"/>
    <d v="2024-09-05T00:00:00"/>
    <s v="CUST249"/>
    <s v="Aashresh"/>
    <x v="1"/>
    <x v="0"/>
    <x v="0"/>
    <n v="2"/>
    <n v="267"/>
    <x v="199"/>
    <n v="1"/>
  </r>
  <r>
    <s v="ORD250"/>
    <d v="2024-09-06T00:00:00"/>
    <s v="CUST250"/>
    <s v="Aashrith"/>
    <x v="0"/>
    <x v="0"/>
    <x v="3"/>
    <n v="3"/>
    <n v="399"/>
    <x v="200"/>
    <n v="2"/>
  </r>
  <r>
    <s v="ORD251"/>
    <d v="2024-09-07T00:00:00"/>
    <s v="CUST251"/>
    <s v="Aashrut"/>
    <x v="0"/>
    <x v="2"/>
    <x v="4"/>
    <n v="2"/>
    <n v="12"/>
    <x v="84"/>
    <n v="2"/>
  </r>
  <r>
    <s v="ORD252"/>
    <d v="2024-09-08T00:00:00"/>
    <s v="CUST252"/>
    <s v="Aashu"/>
    <x v="1"/>
    <x v="1"/>
    <x v="5"/>
    <n v="4"/>
    <n v="190"/>
    <x v="201"/>
    <n v="3"/>
  </r>
  <r>
    <s v="ORD253"/>
    <d v="2024-09-09T00:00:00"/>
    <s v="CUST253"/>
    <s v="Aashuinat"/>
    <x v="0"/>
    <x v="2"/>
    <x v="4"/>
    <n v="5"/>
    <n v="31"/>
    <x v="202"/>
    <n v="4"/>
  </r>
  <r>
    <s v="ORD254"/>
    <d v="2024-09-10T00:00:00"/>
    <s v="CUST254"/>
    <s v="Aashutosh"/>
    <x v="1"/>
    <x v="2"/>
    <x v="4"/>
    <n v="2"/>
    <n v="40"/>
    <x v="203"/>
    <n v="2"/>
  </r>
  <r>
    <s v="ORD255"/>
    <d v="2024-09-11T00:00:00"/>
    <s v="CUST255"/>
    <s v="Aasif"/>
    <x v="0"/>
    <x v="0"/>
    <x v="0"/>
    <n v="1"/>
    <n v="383"/>
    <x v="204"/>
    <n v="1"/>
  </r>
  <r>
    <s v="ORD256"/>
    <d v="2024-09-12T00:00:00"/>
    <s v="CUST256"/>
    <s v="Aasim"/>
    <x v="1"/>
    <x v="1"/>
    <x v="2"/>
    <n v="3"/>
    <n v="122"/>
    <x v="72"/>
    <n v="3"/>
  </r>
  <r>
    <s v="ORD257"/>
    <d v="2024-09-13T00:00:00"/>
    <s v="CUST257"/>
    <s v="Aasit"/>
    <x v="1"/>
    <x v="2"/>
    <x v="4"/>
    <n v="2"/>
    <n v="48"/>
    <x v="34"/>
    <n v="4"/>
  </r>
  <r>
    <s v="ORD258"/>
    <d v="2024-09-14T00:00:00"/>
    <s v="CUST258"/>
    <s v="Aaslunan"/>
    <x v="1"/>
    <x v="2"/>
    <x v="6"/>
    <n v="4"/>
    <n v="44"/>
    <x v="41"/>
    <n v="2"/>
  </r>
  <r>
    <s v="ORD259"/>
    <d v="2024-09-15T00:00:00"/>
    <s v="CUST259"/>
    <s v="Aastha"/>
    <x v="0"/>
    <x v="2"/>
    <x v="6"/>
    <n v="1"/>
    <n v="42"/>
    <x v="190"/>
    <n v="2"/>
  </r>
  <r>
    <s v="ORD260"/>
    <d v="2024-09-16T00:00:00"/>
    <s v="CUST260"/>
    <s v="Aastik"/>
    <x v="1"/>
    <x v="1"/>
    <x v="5"/>
    <n v="1"/>
    <n v="217"/>
    <x v="169"/>
    <n v="1"/>
  </r>
  <r>
    <s v="ORD261"/>
    <d v="2024-09-17T00:00:00"/>
    <s v="CUST261"/>
    <s v="Aasvi"/>
    <x v="1"/>
    <x v="2"/>
    <x v="6"/>
    <n v="3"/>
    <n v="38"/>
    <x v="205"/>
    <n v="3"/>
  </r>
  <r>
    <s v="ORD262"/>
    <d v="2024-09-18T00:00:00"/>
    <s v="CUST262"/>
    <s v="Aatallan"/>
    <x v="0"/>
    <x v="0"/>
    <x v="3"/>
    <n v="3"/>
    <n v="271"/>
    <x v="206"/>
    <n v="1"/>
  </r>
  <r>
    <s v="ORD263"/>
    <d v="2024-09-19T00:00:00"/>
    <s v="CUST263"/>
    <s v="Aathan"/>
    <x v="0"/>
    <x v="1"/>
    <x v="8"/>
    <n v="1"/>
    <n v="271"/>
    <x v="207"/>
    <n v="1"/>
  </r>
  <r>
    <s v="ORD264"/>
    <d v="2024-09-20T00:00:00"/>
    <s v="CUST264"/>
    <s v="Aathangan"/>
    <x v="1"/>
    <x v="1"/>
    <x v="5"/>
    <n v="1"/>
    <n v="258"/>
    <x v="208"/>
    <n v="2"/>
  </r>
  <r>
    <s v="ORD265"/>
    <d v="2024-09-21T00:00:00"/>
    <s v="CUST265"/>
    <s v="Aatharan"/>
    <x v="1"/>
    <x v="0"/>
    <x v="1"/>
    <n v="5"/>
    <n v="486"/>
    <x v="209"/>
    <n v="3"/>
  </r>
  <r>
    <s v="ORD266"/>
    <d v="2024-09-22T00:00:00"/>
    <s v="CUST266"/>
    <s v="Aatharshan"/>
    <x v="0"/>
    <x v="2"/>
    <x v="6"/>
    <n v="3"/>
    <n v="13"/>
    <x v="210"/>
    <n v="2"/>
  </r>
  <r>
    <s v="ORD267"/>
    <d v="2024-09-23T00:00:00"/>
    <s v="CUST267"/>
    <s v="Aathavan"/>
    <x v="1"/>
    <x v="2"/>
    <x v="4"/>
    <n v="5"/>
    <n v="38"/>
    <x v="35"/>
    <n v="1"/>
  </r>
  <r>
    <s v="ORD268"/>
    <d v="2024-09-24T00:00:00"/>
    <s v="CUST268"/>
    <s v="Aathees"/>
    <x v="1"/>
    <x v="0"/>
    <x v="3"/>
    <n v="1"/>
    <n v="266"/>
    <x v="211"/>
    <n v="1"/>
  </r>
  <r>
    <s v="ORD269"/>
    <d v="2024-09-25T00:00:00"/>
    <s v="CUST269"/>
    <s v="Aatheesan"/>
    <x v="1"/>
    <x v="2"/>
    <x v="7"/>
    <n v="3"/>
    <n v="15"/>
    <x v="212"/>
    <n v="2"/>
  </r>
  <r>
    <s v="ORD270"/>
    <d v="2024-09-26T00:00:00"/>
    <s v="CUST270"/>
    <s v="Aatheesh"/>
    <x v="1"/>
    <x v="1"/>
    <x v="8"/>
    <n v="2"/>
    <n v="131"/>
    <x v="121"/>
    <n v="2"/>
  </r>
  <r>
    <s v="ORD271"/>
    <d v="2024-09-27T00:00:00"/>
    <s v="CUST271"/>
    <s v="Aathesh"/>
    <x v="0"/>
    <x v="2"/>
    <x v="6"/>
    <n v="2"/>
    <n v="37"/>
    <x v="71"/>
    <n v="3"/>
  </r>
  <r>
    <s v="ORD272"/>
    <d v="2024-09-28T00:00:00"/>
    <s v="CUST272"/>
    <s v="Aatheshan"/>
    <x v="0"/>
    <x v="2"/>
    <x v="4"/>
    <n v="4"/>
    <n v="40"/>
    <x v="132"/>
    <n v="3"/>
  </r>
  <r>
    <s v="ORD273"/>
    <d v="2024-09-01T00:00:00"/>
    <s v="CUST273"/>
    <s v="Aathijeyan"/>
    <x v="0"/>
    <x v="1"/>
    <x v="8"/>
    <n v="5"/>
    <n v="205"/>
    <x v="213"/>
    <n v="3"/>
  </r>
  <r>
    <s v="ORD274"/>
    <d v="2024-09-12T00:00:00"/>
    <s v="CUST274"/>
    <s v="Aathikan"/>
    <x v="1"/>
    <x v="2"/>
    <x v="6"/>
    <n v="5"/>
    <n v="12"/>
    <x v="79"/>
    <n v="2"/>
  </r>
  <r>
    <s v="ORD275"/>
    <d v="2024-04-01T00:00:00"/>
    <s v="CUST275"/>
    <s v="Aathikesan"/>
    <x v="0"/>
    <x v="2"/>
    <x v="7"/>
    <n v="5"/>
    <n v="42"/>
    <x v="131"/>
    <n v="1"/>
  </r>
  <r>
    <s v="ORD276"/>
    <d v="2024-08-23T00:00:00"/>
    <s v="CUST276"/>
    <s v="Aathikeyan"/>
    <x v="0"/>
    <x v="2"/>
    <x v="4"/>
    <n v="5"/>
    <n v="18"/>
    <x v="214"/>
    <n v="2"/>
  </r>
  <r>
    <s v="ORD277"/>
    <d v="2024-05-21T00:00:00"/>
    <s v="CUST277"/>
    <s v="Aathipan"/>
    <x v="0"/>
    <x v="2"/>
    <x v="4"/>
    <n v="2"/>
    <n v="25"/>
    <x v="215"/>
    <n v="2"/>
  </r>
  <r>
    <s v="ORD278"/>
    <d v="2024-06-01T00:00:00"/>
    <s v="CUST278"/>
    <s v="Aathiraiyan"/>
    <x v="1"/>
    <x v="2"/>
    <x v="7"/>
    <n v="3"/>
    <n v="25"/>
    <x v="183"/>
    <n v="1"/>
  </r>
  <r>
    <s v="ORD279"/>
    <d v="2024-07-29T00:00:00"/>
    <s v="CUST279"/>
    <s v="Aathiran"/>
    <x v="1"/>
    <x v="0"/>
    <x v="3"/>
    <n v="3"/>
    <n v="420"/>
    <x v="216"/>
    <n v="1"/>
  </r>
  <r>
    <s v="ORD280"/>
    <d v="2024-01-15T00:00:00"/>
    <s v="CUST280"/>
    <s v="Aathirayan"/>
    <x v="1"/>
    <x v="1"/>
    <x v="2"/>
    <n v="2"/>
    <n v="297"/>
    <x v="76"/>
    <n v="2"/>
  </r>
  <r>
    <s v="ORD281"/>
    <d v="2024-06-10T00:00:00"/>
    <s v="CUST281"/>
    <s v="Aathiruban"/>
    <x v="0"/>
    <x v="2"/>
    <x v="4"/>
    <n v="4"/>
    <n v="40"/>
    <x v="132"/>
    <n v="1"/>
  </r>
  <r>
    <s v="ORD282"/>
    <d v="2024-01-04T00:00:00"/>
    <s v="CUST282"/>
    <s v="Aathisekan"/>
    <x v="1"/>
    <x v="1"/>
    <x v="5"/>
    <n v="1"/>
    <n v="177"/>
    <x v="217"/>
    <n v="2"/>
  </r>
  <r>
    <s v="ORD283"/>
    <d v="2024-07-31T00:00:00"/>
    <s v="CUST283"/>
    <s v="Aathishaeshan"/>
    <x v="1"/>
    <x v="0"/>
    <x v="3"/>
    <n v="5"/>
    <n v="458"/>
    <x v="218"/>
    <n v="2"/>
  </r>
  <r>
    <s v="ORD284"/>
    <d v="2024-04-03T00:00:00"/>
    <s v="CUST284"/>
    <s v="Aathishankar"/>
    <x v="0"/>
    <x v="1"/>
    <x v="2"/>
    <n v="1"/>
    <n v="124"/>
    <x v="219"/>
    <n v="2"/>
  </r>
  <r>
    <s v="ORD285"/>
    <d v="2024-08-27T00:00:00"/>
    <s v="CUST285"/>
    <s v="Aathisyan"/>
    <x v="1"/>
    <x v="2"/>
    <x v="7"/>
    <n v="2"/>
    <n v="35"/>
    <x v="47"/>
    <n v="4"/>
  </r>
  <r>
    <s v="ORD286"/>
    <d v="2024-04-22T00:00:00"/>
    <s v="CUST286"/>
    <s v="Aathith"/>
    <x v="1"/>
    <x v="0"/>
    <x v="1"/>
    <n v="5"/>
    <n v="499"/>
    <x v="220"/>
    <n v="1"/>
  </r>
  <r>
    <s v="ORD287"/>
    <d v="2024-03-21T00:00:00"/>
    <s v="CUST287"/>
    <s v="Aathithan"/>
    <x v="1"/>
    <x v="2"/>
    <x v="4"/>
    <n v="5"/>
    <n v="24"/>
    <x v="173"/>
    <n v="2"/>
  </r>
  <r>
    <s v="ORD288"/>
    <d v="2024-03-03T00:00:00"/>
    <s v="CUST288"/>
    <s v="Aathiththyan"/>
    <x v="1"/>
    <x v="1"/>
    <x v="8"/>
    <n v="5"/>
    <n v="248"/>
    <x v="221"/>
    <n v="1"/>
  </r>
  <r>
    <s v="ORD289"/>
    <d v="2024-02-13T00:00:00"/>
    <s v="CUST289"/>
    <s v="Aathithyan"/>
    <x v="1"/>
    <x v="0"/>
    <x v="1"/>
    <n v="1"/>
    <n v="353"/>
    <x v="222"/>
    <n v="4"/>
  </r>
  <r>
    <s v="ORD290"/>
    <d v="2024-06-13T00:00:00"/>
    <s v="CUST290"/>
    <s v="Aathithyen"/>
    <x v="1"/>
    <x v="0"/>
    <x v="3"/>
    <n v="2"/>
    <n v="206"/>
    <x v="223"/>
    <n v="2"/>
  </r>
  <r>
    <s v="ORD291"/>
    <d v="2024-05-25T00:00:00"/>
    <s v="CUST291"/>
    <s v="Aathiyannal"/>
    <x v="0"/>
    <x v="1"/>
    <x v="2"/>
    <n v="3"/>
    <n v="172"/>
    <x v="224"/>
    <n v="1"/>
  </r>
  <r>
    <s v="ORD292"/>
    <d v="2024-05-14T00:00:00"/>
    <s v="CUST292"/>
    <s v="Aathrav"/>
    <x v="0"/>
    <x v="0"/>
    <x v="0"/>
    <n v="1"/>
    <n v="478"/>
    <x v="225"/>
    <n v="2"/>
  </r>
  <r>
    <s v="ORD293"/>
    <d v="2024-04-14T00:00:00"/>
    <s v="CUST293"/>
    <s v="Aatif"/>
    <x v="0"/>
    <x v="2"/>
    <x v="6"/>
    <n v="4"/>
    <n v="31"/>
    <x v="219"/>
    <n v="2"/>
  </r>
  <r>
    <s v="ORD294"/>
    <d v="2024-02-20T00:00:00"/>
    <s v="CUST294"/>
    <s v="Aatish"/>
    <x v="1"/>
    <x v="2"/>
    <x v="7"/>
    <n v="2"/>
    <n v="17"/>
    <x v="226"/>
    <n v="2"/>
  </r>
  <r>
    <s v="ORD295"/>
    <d v="2024-06-27T00:00:00"/>
    <s v="CUST295"/>
    <s v="Aatma"/>
    <x v="1"/>
    <x v="2"/>
    <x v="7"/>
    <n v="2"/>
    <n v="23"/>
    <x v="227"/>
    <n v="2"/>
  </r>
  <r>
    <s v="ORD296"/>
    <d v="2024-07-22T00:00:00"/>
    <s v="CUST296"/>
    <s v="Atma"/>
    <x v="0"/>
    <x v="1"/>
    <x v="2"/>
    <n v="5"/>
    <n v="242"/>
    <x v="228"/>
    <n v="1"/>
  </r>
  <r>
    <s v="ORD297"/>
    <d v="2024-08-13T00:00:00"/>
    <s v="CUST297"/>
    <s v="Aatma"/>
    <x v="0"/>
    <x v="2"/>
    <x v="4"/>
    <n v="2"/>
    <n v="28"/>
    <x v="229"/>
    <n v="4"/>
  </r>
  <r>
    <s v="ORD298"/>
    <d v="2024-05-27T00:00:00"/>
    <s v="CUST298"/>
    <s v="Atmaram"/>
    <x v="0"/>
    <x v="2"/>
    <x v="4"/>
    <n v="4"/>
    <n v="48"/>
    <x v="18"/>
    <n v="3"/>
  </r>
  <r>
    <s v="ORD299"/>
    <d v="2024-02-26T00:00:00"/>
    <s v="CUST299"/>
    <s v="Aatmaj"/>
    <x v="1"/>
    <x v="1"/>
    <x v="5"/>
    <n v="4"/>
    <n v="145"/>
    <x v="163"/>
    <n v="2"/>
  </r>
  <r>
    <s v="ORD300"/>
    <d v="2024-09-17T00:00:00"/>
    <s v="CUST300"/>
    <s v="Aatman"/>
    <x v="1"/>
    <x v="2"/>
    <x v="7"/>
    <n v="3"/>
    <n v="28"/>
    <x v="97"/>
    <n v="2"/>
  </r>
  <r>
    <s v="ORD301"/>
    <d v="2024-06-12T00:00:00"/>
    <s v="CUST301"/>
    <s v="Aatmanand"/>
    <x v="0"/>
    <x v="1"/>
    <x v="2"/>
    <n v="5"/>
    <n v="239"/>
    <x v="230"/>
    <n v="1"/>
  </r>
  <r>
    <s v="ORD302"/>
    <d v="2024-04-02T00:00:00"/>
    <s v="CUST302"/>
    <s v="Aatmaram"/>
    <x v="1"/>
    <x v="2"/>
    <x v="4"/>
    <n v="1"/>
    <n v="48"/>
    <x v="154"/>
    <n v="1"/>
  </r>
  <r>
    <s v="ORD303"/>
    <d v="2024-02-06T00:00:00"/>
    <s v="CUST303"/>
    <s v="Aatmay"/>
    <x v="0"/>
    <x v="2"/>
    <x v="6"/>
    <n v="1"/>
    <n v="14"/>
    <x v="231"/>
    <n v="3"/>
  </r>
  <r>
    <s v="ORD304"/>
    <d v="2024-02-05T00:00:00"/>
    <s v="CUST304"/>
    <s v="Aatmik"/>
    <x v="1"/>
    <x v="0"/>
    <x v="3"/>
    <n v="1"/>
    <n v="380"/>
    <x v="40"/>
    <n v="1"/>
  </r>
  <r>
    <s v="ORD305"/>
    <d v="2024-06-30T00:00:00"/>
    <s v="CUST305"/>
    <s v="Aatrey"/>
    <x v="1"/>
    <x v="0"/>
    <x v="1"/>
    <n v="5"/>
    <n v="384"/>
    <x v="16"/>
    <n v="1"/>
  </r>
  <r>
    <s v="ORD306"/>
    <d v="2024-06-22T00:00:00"/>
    <s v="CUST306"/>
    <s v="Aatreya"/>
    <x v="0"/>
    <x v="0"/>
    <x v="3"/>
    <n v="2"/>
    <n v="276"/>
    <x v="232"/>
    <n v="1"/>
  </r>
  <r>
    <s v="ORD307"/>
    <d v="2024-07-13T00:00:00"/>
    <s v="CUST307"/>
    <s v="Aavansh"/>
    <x v="1"/>
    <x v="1"/>
    <x v="8"/>
    <n v="5"/>
    <n v="246"/>
    <x v="233"/>
    <n v="1"/>
  </r>
  <r>
    <s v="ORD308"/>
    <d v="2024-09-07T00:00:00"/>
    <s v="CUST308"/>
    <s v="Aavanyan"/>
    <x v="1"/>
    <x v="0"/>
    <x v="1"/>
    <n v="5"/>
    <n v="374"/>
    <x v="234"/>
    <n v="3"/>
  </r>
  <r>
    <s v="ORD309"/>
    <d v="2024-02-10T00:00:00"/>
    <s v="CUST309"/>
    <s v="Aavarthan"/>
    <x v="0"/>
    <x v="1"/>
    <x v="2"/>
    <n v="3"/>
    <n v="250"/>
    <x v="235"/>
    <n v="1"/>
  </r>
  <r>
    <s v="ORD310"/>
    <d v="2024-09-15T00:00:00"/>
    <s v="CUST310"/>
    <s v="Aaveg"/>
    <x v="1"/>
    <x v="2"/>
    <x v="4"/>
    <n v="1"/>
    <n v="34"/>
    <x v="226"/>
    <n v="2"/>
  </r>
  <r>
    <s v="ORD311"/>
    <d v="2024-07-04T00:00:00"/>
    <s v="CUST311"/>
    <s v="Aavesh"/>
    <x v="1"/>
    <x v="1"/>
    <x v="5"/>
    <n v="2"/>
    <n v="283"/>
    <x v="236"/>
    <n v="1"/>
  </r>
  <r>
    <s v="ORD312"/>
    <d v="2024-09-05T00:00:00"/>
    <s v="CUST312"/>
    <s v="Aavi"/>
    <x v="1"/>
    <x v="0"/>
    <x v="3"/>
    <n v="4"/>
    <n v="407"/>
    <x v="237"/>
    <n v="2"/>
  </r>
  <r>
    <s v="ORD313"/>
    <d v="2024-07-09T00:00:00"/>
    <s v="CUST313"/>
    <s v="Aavish"/>
    <x v="0"/>
    <x v="1"/>
    <x v="5"/>
    <n v="4"/>
    <n v="283"/>
    <x v="238"/>
    <n v="4"/>
  </r>
  <r>
    <s v="ORD314"/>
    <d v="2024-02-20T00:00:00"/>
    <s v="CUST314"/>
    <s v="Aayam"/>
    <x v="1"/>
    <x v="2"/>
    <x v="7"/>
    <n v="5"/>
    <n v="42"/>
    <x v="131"/>
    <n v="2"/>
  </r>
  <r>
    <s v="ORD315"/>
    <d v="2024-02-07T00:00:00"/>
    <s v="CUST315"/>
    <s v="Aayan"/>
    <x v="0"/>
    <x v="1"/>
    <x v="8"/>
    <n v="5"/>
    <n v="179"/>
    <x v="239"/>
    <n v="3"/>
  </r>
  <r>
    <s v="ORD316"/>
    <d v="2024-05-24T00:00:00"/>
    <s v="CUST316"/>
    <s v="Aayansh"/>
    <x v="1"/>
    <x v="0"/>
    <x v="0"/>
    <n v="1"/>
    <n v="465"/>
    <x v="240"/>
    <n v="1"/>
  </r>
  <r>
    <s v="ORD317"/>
    <d v="2024-03-03T00:00:00"/>
    <s v="CUST317"/>
    <s v="Aayod"/>
    <x v="0"/>
    <x v="0"/>
    <x v="1"/>
    <n v="2"/>
    <n v="390"/>
    <x v="241"/>
    <n v="2"/>
  </r>
  <r>
    <s v="ORD318"/>
    <d v="2024-05-01T00:00:00"/>
    <s v="CUST318"/>
    <s v="Aayu"/>
    <x v="1"/>
    <x v="0"/>
    <x v="0"/>
    <n v="5"/>
    <n v="413"/>
    <x v="242"/>
    <n v="2"/>
  </r>
  <r>
    <s v="ORD319"/>
    <d v="2024-03-09T00:00:00"/>
    <s v="CUST319"/>
    <s v="Aayu"/>
    <x v="0"/>
    <x v="2"/>
    <x v="6"/>
    <n v="1"/>
    <n v="13"/>
    <x v="116"/>
    <n v="1"/>
  </r>
  <r>
    <s v="ORD320"/>
    <d v="2024-07-25T00:00:00"/>
    <s v="CUST320"/>
    <s v="Aayush"/>
    <x v="0"/>
    <x v="1"/>
    <x v="5"/>
    <n v="2"/>
    <n v="231"/>
    <x v="243"/>
    <n v="4"/>
  </r>
  <r>
    <s v="ORD321"/>
    <d v="2024-04-02T00:00:00"/>
    <s v="CUST321"/>
    <s v="Aayudh"/>
    <x v="0"/>
    <x v="1"/>
    <x v="8"/>
    <n v="1"/>
    <n v="186"/>
    <x v="244"/>
    <n v="1"/>
  </r>
  <r>
    <s v="ORD322"/>
    <d v="2024-04-04T00:00:00"/>
    <s v="CUST322"/>
    <s v="Aayus"/>
    <x v="1"/>
    <x v="1"/>
    <x v="2"/>
    <n v="3"/>
    <n v="152"/>
    <x v="245"/>
    <n v="2"/>
  </r>
  <r>
    <s v="ORD323"/>
    <d v="2024-05-03T00:00:00"/>
    <s v="CUST323"/>
    <s v="Aayush"/>
    <x v="0"/>
    <x v="2"/>
    <x v="4"/>
    <n v="3"/>
    <n v="22"/>
    <x v="246"/>
    <n v="1"/>
  </r>
  <r>
    <s v="ORD324"/>
    <d v="2024-04-14T00:00:00"/>
    <s v="CUST324"/>
    <s v="Aayushmaan"/>
    <x v="1"/>
    <x v="1"/>
    <x v="8"/>
    <n v="1"/>
    <n v="245"/>
    <x v="184"/>
    <n v="1"/>
  </r>
  <r>
    <s v="ORD325"/>
    <d v="2024-09-16T00:00:00"/>
    <s v="CUST325"/>
    <s v="Aayushmaan"/>
    <x v="1"/>
    <x v="2"/>
    <x v="4"/>
    <n v="5"/>
    <n v="47"/>
    <x v="182"/>
    <n v="2"/>
  </r>
  <r>
    <s v="ORD326"/>
    <d v="2024-03-31T00:00:00"/>
    <s v="CUST326"/>
    <s v="Aayushman"/>
    <x v="0"/>
    <x v="2"/>
    <x v="4"/>
    <n v="2"/>
    <n v="20"/>
    <x v="247"/>
    <n v="2"/>
  </r>
  <r>
    <s v="ORD327"/>
    <d v="2024-03-04T00:00:00"/>
    <s v="CUST327"/>
    <s v="Aayushman"/>
    <x v="1"/>
    <x v="2"/>
    <x v="6"/>
    <n v="3"/>
    <n v="45"/>
    <x v="248"/>
    <n v="1"/>
  </r>
  <r>
    <s v="ORD328"/>
    <d v="2024-09-02T00:00:00"/>
    <s v="CUST328"/>
    <s v="Aazim"/>
    <x v="1"/>
    <x v="1"/>
    <x v="5"/>
    <n v="3"/>
    <n v="174"/>
    <x v="249"/>
    <n v="1"/>
  </r>
  <r>
    <s v="ORD329"/>
    <d v="2024-04-24T00:00:00"/>
    <s v="CUST329"/>
    <s v="Abaan"/>
    <x v="0"/>
    <x v="0"/>
    <x v="0"/>
    <n v="2"/>
    <n v="200"/>
    <x v="250"/>
    <n v="1"/>
  </r>
  <r>
    <s v="ORD330"/>
    <d v="2024-09-10T00:00:00"/>
    <s v="CUST330"/>
    <s v="Abadhya"/>
    <x v="0"/>
    <x v="1"/>
    <x v="2"/>
    <n v="2"/>
    <n v="176"/>
    <x v="161"/>
    <n v="1"/>
  </r>
  <r>
    <s v="ORD331"/>
    <d v="2024-04-03T00:00:00"/>
    <s v="CUST331"/>
    <s v="Abay"/>
    <x v="1"/>
    <x v="0"/>
    <x v="0"/>
    <n v="4"/>
    <n v="259"/>
    <x v="251"/>
    <n v="2"/>
  </r>
  <r>
    <s v="ORD332"/>
    <d v="2024-03-14T00:00:00"/>
    <s v="CUST332"/>
    <s v="Abayan"/>
    <x v="0"/>
    <x v="0"/>
    <x v="0"/>
    <n v="1"/>
    <n v="354"/>
    <x v="252"/>
    <n v="3"/>
  </r>
  <r>
    <s v="ORD333"/>
    <d v="2024-01-14T00:00:00"/>
    <s v="CUST333"/>
    <s v="Abbas"/>
    <x v="1"/>
    <x v="1"/>
    <x v="5"/>
    <n v="1"/>
    <n v="244"/>
    <x v="253"/>
    <n v="1"/>
  </r>
  <r>
    <s v="ORD334"/>
    <d v="2024-04-11T00:00:00"/>
    <s v="CUST334"/>
    <s v="Abbhinav"/>
    <x v="0"/>
    <x v="1"/>
    <x v="5"/>
    <n v="4"/>
    <n v="274"/>
    <x v="254"/>
    <n v="1"/>
  </r>
  <r>
    <s v="ORD335"/>
    <d v="2024-07-06T00:00:00"/>
    <s v="CUST335"/>
    <s v="Abbir"/>
    <x v="0"/>
    <x v="0"/>
    <x v="3"/>
    <n v="1"/>
    <n v="255"/>
    <x v="255"/>
    <n v="1"/>
  </r>
  <r>
    <s v="ORD336"/>
    <d v="2024-02-10T00:00:00"/>
    <s v="CUST336"/>
    <s v="Abbott"/>
    <x v="0"/>
    <x v="0"/>
    <x v="0"/>
    <n v="3"/>
    <n v="480"/>
    <x v="256"/>
    <n v="4"/>
  </r>
  <r>
    <s v="ORD337"/>
    <d v="2024-03-21T00:00:00"/>
    <s v="CUST337"/>
    <s v="Abbud"/>
    <x v="1"/>
    <x v="2"/>
    <x v="6"/>
    <n v="1"/>
    <n v="26"/>
    <x v="6"/>
    <n v="1"/>
  </r>
  <r>
    <s v="ORD338"/>
    <d v="2024-05-02T00:00:00"/>
    <s v="CUST338"/>
    <s v="Abbudin"/>
    <x v="1"/>
    <x v="2"/>
    <x v="6"/>
    <n v="5"/>
    <n v="36"/>
    <x v="257"/>
    <n v="4"/>
  </r>
  <r>
    <s v="ORD339"/>
    <d v="2024-02-13T00:00:00"/>
    <s v="CUST339"/>
    <s v="Abdul"/>
    <x v="1"/>
    <x v="1"/>
    <x v="5"/>
    <n v="4"/>
    <n v="101"/>
    <x v="128"/>
    <n v="3"/>
  </r>
  <r>
    <s v="ORD340"/>
    <d v="2024-03-30T00:00:00"/>
    <s v="CUST340"/>
    <s v="Abdul Ali"/>
    <x v="1"/>
    <x v="1"/>
    <x v="5"/>
    <n v="2"/>
    <n v="183"/>
    <x v="72"/>
    <n v="2"/>
  </r>
  <r>
    <s v="ORD341"/>
    <d v="2024-06-07T00:00:00"/>
    <s v="CUST341"/>
    <s v="Ali Mohammed"/>
    <x v="0"/>
    <x v="0"/>
    <x v="3"/>
    <n v="4"/>
    <n v="411"/>
    <x v="258"/>
    <n v="1"/>
  </r>
  <r>
    <s v="ORD342"/>
    <d v="2024-09-23T00:00:00"/>
    <s v="CUST342"/>
    <s v="Abdul Aziz"/>
    <x v="0"/>
    <x v="1"/>
    <x v="2"/>
    <n v="3"/>
    <n v="274"/>
    <x v="259"/>
    <n v="2"/>
  </r>
  <r>
    <s v="ORD343"/>
    <d v="2024-08-25T00:00:00"/>
    <s v="CUST343"/>
    <s v="Abdul Gani"/>
    <x v="0"/>
    <x v="1"/>
    <x v="2"/>
    <n v="2"/>
    <n v="214"/>
    <x v="260"/>
    <n v="2"/>
  </r>
  <r>
    <s v="ORD344"/>
    <d v="2024-05-26T00:00:00"/>
    <s v="CUST344"/>
    <s v="Abdul Ghani"/>
    <x v="1"/>
    <x v="2"/>
    <x v="7"/>
    <n v="4"/>
    <n v="47"/>
    <x v="261"/>
    <n v="1"/>
  </r>
  <r>
    <s v="ORD345"/>
    <d v="2024-03-16T00:00:00"/>
    <s v="CUST345"/>
    <s v="Abdul Rahaman"/>
    <x v="0"/>
    <x v="0"/>
    <x v="0"/>
    <n v="1"/>
    <n v="218"/>
    <x v="262"/>
    <n v="2"/>
  </r>
  <r>
    <s v="ORD346"/>
    <d v="2024-04-06T00:00:00"/>
    <s v="CUST346"/>
    <s v="Abdul Rahman"/>
    <x v="1"/>
    <x v="2"/>
    <x v="4"/>
    <n v="1"/>
    <n v="36"/>
    <x v="13"/>
    <n v="1"/>
  </r>
  <r>
    <s v="ORD347"/>
    <d v="2024-07-29T00:00:00"/>
    <s v="CUST347"/>
    <s v="Abdul Raheem"/>
    <x v="1"/>
    <x v="0"/>
    <x v="0"/>
    <n v="2"/>
    <n v="492"/>
    <x v="263"/>
    <n v="1"/>
  </r>
  <r>
    <s v="ORD348"/>
    <d v="2024-01-29T00:00:00"/>
    <s v="CUST348"/>
    <s v="Abdul Wahid"/>
    <x v="0"/>
    <x v="2"/>
    <x v="4"/>
    <n v="2"/>
    <n v="12"/>
    <x v="84"/>
    <n v="1"/>
  </r>
  <r>
    <s v="ORD349"/>
    <d v="2024-06-14T00:00:00"/>
    <s v="CUST349"/>
    <s v="Abdullah"/>
    <x v="0"/>
    <x v="0"/>
    <x v="1"/>
    <n v="4"/>
    <n v="407"/>
    <x v="237"/>
    <n v="3"/>
  </r>
  <r>
    <s v="ORD350"/>
    <d v="2024-01-05T00:00:00"/>
    <s v="CUST350"/>
    <s v="Abdus"/>
    <x v="1"/>
    <x v="1"/>
    <x v="8"/>
    <n v="2"/>
    <n v="165"/>
    <x v="152"/>
    <n v="2"/>
  </r>
  <r>
    <s v="ORD351"/>
    <d v="2024-05-26T00:00:00"/>
    <s v="CUST351"/>
    <s v="Abdus Salaam"/>
    <x v="1"/>
    <x v="1"/>
    <x v="2"/>
    <n v="3"/>
    <n v="108"/>
    <x v="264"/>
    <n v="2"/>
  </r>
  <r>
    <s v="ORD352"/>
    <d v="2024-01-06T00:00:00"/>
    <s v="CUST352"/>
    <s v="Abdus Samad"/>
    <x v="1"/>
    <x v="1"/>
    <x v="5"/>
    <n v="4"/>
    <n v="173"/>
    <x v="265"/>
    <n v="2"/>
  </r>
  <r>
    <s v="ORD353"/>
    <d v="2024-05-12T00:00:00"/>
    <s v="CUST353"/>
    <s v="Abdus Sami"/>
    <x v="1"/>
    <x v="1"/>
    <x v="8"/>
    <n v="1"/>
    <n v="257"/>
    <x v="266"/>
    <n v="1"/>
  </r>
  <r>
    <s v="ORD354"/>
    <d v="2024-09-08T00:00:00"/>
    <s v="CUST354"/>
    <s v="Abdus Sattar"/>
    <x v="0"/>
    <x v="2"/>
    <x v="6"/>
    <n v="1"/>
    <n v="50"/>
    <x v="215"/>
    <n v="1"/>
  </r>
  <r>
    <s v="ORD355"/>
    <d v="2024-08-19T00:00:00"/>
    <s v="CUST355"/>
    <s v="Abdus Shafi"/>
    <x v="0"/>
    <x v="2"/>
    <x v="7"/>
    <n v="3"/>
    <n v="15"/>
    <x v="212"/>
    <n v="2"/>
  </r>
  <r>
    <s v="ORD356"/>
    <d v="2024-07-19T00:00:00"/>
    <s v="CUST356"/>
    <s v="Abdus Shahid"/>
    <x v="0"/>
    <x v="0"/>
    <x v="3"/>
    <n v="2"/>
    <n v="251"/>
    <x v="267"/>
    <n v="1"/>
  </r>
  <r>
    <s v="ORD357"/>
    <d v="2024-09-14T00:00:00"/>
    <s v="CUST357"/>
    <s v="Abdus Subbooh"/>
    <x v="0"/>
    <x v="2"/>
    <x v="7"/>
    <n v="3"/>
    <n v="17"/>
    <x v="193"/>
    <n v="1"/>
  </r>
  <r>
    <s v="ORD358"/>
    <d v="2024-05-12T00:00:00"/>
    <s v="CUST358"/>
    <s v="Abdus Sabour"/>
    <x v="1"/>
    <x v="0"/>
    <x v="3"/>
    <n v="2"/>
    <n v="201"/>
    <x v="268"/>
    <n v="2"/>
  </r>
  <r>
    <s v="ORD359"/>
    <d v="2024-06-24T00:00:00"/>
    <s v="CUST359"/>
    <s v="Abdus Salaam"/>
    <x v="0"/>
    <x v="1"/>
    <x v="2"/>
    <n v="5"/>
    <n v="206"/>
    <x v="269"/>
    <n v="1"/>
  </r>
  <r>
    <s v="ORD360"/>
    <d v="2024-02-07T00:00:00"/>
    <s v="CUST360"/>
    <s v="Abdus Samad"/>
    <x v="0"/>
    <x v="1"/>
    <x v="5"/>
    <n v="4"/>
    <n v="251"/>
    <x v="270"/>
    <n v="1"/>
  </r>
  <r>
    <s v="ORD361"/>
    <d v="2024-02-19T00:00:00"/>
    <s v="CUST361"/>
    <s v="Abdus Sameei"/>
    <x v="1"/>
    <x v="1"/>
    <x v="8"/>
    <n v="3"/>
    <n v="216"/>
    <x v="135"/>
    <n v="2"/>
  </r>
  <r>
    <s v="ORD362"/>
    <d v="2024-04-15T00:00:00"/>
    <s v="CUST362"/>
    <s v="Abdus Shaheed"/>
    <x v="0"/>
    <x v="2"/>
    <x v="7"/>
    <n v="3"/>
    <n v="45"/>
    <x v="248"/>
    <n v="2"/>
  </r>
  <r>
    <s v="ORD363"/>
    <d v="2024-03-08T00:00:00"/>
    <s v="CUST363"/>
    <s v="Abdus Shakur"/>
    <x v="1"/>
    <x v="2"/>
    <x v="7"/>
    <n v="4"/>
    <n v="33"/>
    <x v="271"/>
    <n v="2"/>
  </r>
  <r>
    <s v="ORD364"/>
    <d v="2024-06-24T00:00:00"/>
    <s v="CUST364"/>
    <s v="Abed"/>
    <x v="0"/>
    <x v="1"/>
    <x v="8"/>
    <n v="5"/>
    <n v="100"/>
    <x v="272"/>
    <n v="3"/>
  </r>
  <r>
    <s v="ORD365"/>
    <d v="2024-09-09T00:00:00"/>
    <s v="CUST365"/>
    <s v="Abedin"/>
    <x v="1"/>
    <x v="1"/>
    <x v="5"/>
    <n v="4"/>
    <n v="299"/>
    <x v="273"/>
    <n v="1"/>
  </r>
  <r>
    <s v="ORD366"/>
    <d v="2024-05-12T00:00:00"/>
    <s v="CUST366"/>
    <s v="Abeer"/>
    <x v="1"/>
    <x v="1"/>
    <x v="2"/>
    <n v="3"/>
    <n v="112"/>
    <x v="140"/>
    <n v="2"/>
  </r>
  <r>
    <s v="ORD367"/>
    <d v="2024-09-27T00:00:00"/>
    <s v="CUST367"/>
    <s v="Abel"/>
    <x v="1"/>
    <x v="1"/>
    <x v="8"/>
    <n v="5"/>
    <n v="187"/>
    <x v="274"/>
    <n v="2"/>
  </r>
  <r>
    <s v="ORD368"/>
    <d v="2024-05-03T00:00:00"/>
    <s v="CUST368"/>
    <s v="Abenayan"/>
    <x v="0"/>
    <x v="1"/>
    <x v="8"/>
    <n v="5"/>
    <n v="106"/>
    <x v="275"/>
    <n v="1"/>
  </r>
  <r>
    <s v="ORD369"/>
    <d v="2024-02-20T00:00:00"/>
    <s v="CUST369"/>
    <s v="Abezag"/>
    <x v="1"/>
    <x v="0"/>
    <x v="1"/>
    <n v="2"/>
    <n v="299"/>
    <x v="276"/>
    <n v="1"/>
  </r>
  <r>
    <s v="ORD370"/>
    <d v="2024-08-29T00:00:00"/>
    <s v="CUST370"/>
    <s v="Abhaidev"/>
    <x v="0"/>
    <x v="1"/>
    <x v="8"/>
    <n v="2"/>
    <n v="117"/>
    <x v="277"/>
    <n v="1"/>
  </r>
  <r>
    <s v="ORD371"/>
    <d v="2024-08-10T00:00:00"/>
    <s v="CUST371"/>
    <s v="Abhaijeet"/>
    <x v="1"/>
    <x v="1"/>
    <x v="5"/>
    <n v="2"/>
    <n v="231"/>
    <x v="243"/>
    <n v="2"/>
  </r>
  <r>
    <s v="ORD372"/>
    <d v="2024-03-15T00:00:00"/>
    <s v="CUST372"/>
    <s v="Abharajithan"/>
    <x v="1"/>
    <x v="2"/>
    <x v="6"/>
    <n v="4"/>
    <n v="26"/>
    <x v="69"/>
    <n v="1"/>
  </r>
  <r>
    <s v="ORD373"/>
    <d v="2024-02-21T00:00:00"/>
    <s v="CUST373"/>
    <s v="Abhas"/>
    <x v="1"/>
    <x v="1"/>
    <x v="5"/>
    <n v="5"/>
    <n v="210"/>
    <x v="278"/>
    <n v="2"/>
  </r>
  <r>
    <s v="ORD374"/>
    <d v="2024-09-15T00:00:00"/>
    <s v="CUST374"/>
    <s v="Abhav"/>
    <x v="0"/>
    <x v="0"/>
    <x v="1"/>
    <n v="5"/>
    <n v="500"/>
    <x v="279"/>
    <n v="3"/>
  </r>
  <r>
    <s v="ORD375"/>
    <d v="2024-08-04T00:00:00"/>
    <s v="CUST375"/>
    <s v="Abhay"/>
    <x v="1"/>
    <x v="2"/>
    <x v="6"/>
    <n v="3"/>
    <n v="13"/>
    <x v="210"/>
    <n v="3"/>
  </r>
  <r>
    <s v="ORD376"/>
    <d v="2024-05-27T00:00:00"/>
    <s v="CUST376"/>
    <s v="Abhaya Prada"/>
    <x v="0"/>
    <x v="1"/>
    <x v="5"/>
    <n v="2"/>
    <n v="248"/>
    <x v="280"/>
    <n v="1"/>
  </r>
  <r>
    <s v="ORD377"/>
    <d v="2024-07-27T00:00:00"/>
    <s v="CUST377"/>
    <s v="Abhayam"/>
    <x v="1"/>
    <x v="1"/>
    <x v="2"/>
    <n v="4"/>
    <n v="141"/>
    <x v="281"/>
    <n v="1"/>
  </r>
  <r>
    <s v="ORD378"/>
    <d v="2024-09-23T00:00:00"/>
    <s v="CUST378"/>
    <s v="Abhayan"/>
    <x v="1"/>
    <x v="2"/>
    <x v="4"/>
    <n v="1"/>
    <n v="13"/>
    <x v="116"/>
    <n v="3"/>
  </r>
  <r>
    <s v="ORD379"/>
    <d v="2024-05-05T00:00:00"/>
    <s v="CUST379"/>
    <s v="Abhayananda"/>
    <x v="0"/>
    <x v="0"/>
    <x v="1"/>
    <n v="1"/>
    <n v="367"/>
    <x v="282"/>
    <n v="1"/>
  </r>
  <r>
    <s v="ORD380"/>
    <d v="2024-05-18T00:00:00"/>
    <s v="CUST380"/>
    <s v="Abhayankar"/>
    <x v="1"/>
    <x v="1"/>
    <x v="8"/>
    <n v="1"/>
    <n v="241"/>
    <x v="283"/>
    <n v="2"/>
  </r>
  <r>
    <s v="ORD381"/>
    <d v="2024-08-20T00:00:00"/>
    <s v="CUST381"/>
    <s v="Abheek"/>
    <x v="1"/>
    <x v="1"/>
    <x v="8"/>
    <n v="3"/>
    <n v="110"/>
    <x v="152"/>
    <n v="1"/>
  </r>
  <r>
    <s v="ORD382"/>
    <d v="2024-08-18T00:00:00"/>
    <s v="CUST382"/>
    <s v="Abheesht"/>
    <x v="1"/>
    <x v="2"/>
    <x v="4"/>
    <n v="3"/>
    <n v="12"/>
    <x v="13"/>
    <n v="1"/>
  </r>
  <r>
    <s v="ORD383"/>
    <d v="2024-03-18T00:00:00"/>
    <s v="CUST383"/>
    <s v="Abheet"/>
    <x v="0"/>
    <x v="1"/>
    <x v="2"/>
    <n v="5"/>
    <n v="262"/>
    <x v="284"/>
    <n v="2"/>
  </r>
  <r>
    <s v="ORD384"/>
    <d v="2024-06-14T00:00:00"/>
    <s v="CUST384"/>
    <s v="Abhey"/>
    <x v="1"/>
    <x v="0"/>
    <x v="0"/>
    <n v="2"/>
    <n v="455"/>
    <x v="285"/>
    <n v="2"/>
  </r>
  <r>
    <s v="ORD385"/>
    <d v="2024-05-11T00:00:00"/>
    <s v="CUST385"/>
    <s v="Abhibhava"/>
    <x v="0"/>
    <x v="2"/>
    <x v="4"/>
    <n v="4"/>
    <n v="35"/>
    <x v="191"/>
    <n v="3"/>
  </r>
  <r>
    <s v="ORD386"/>
    <d v="2024-02-12T00:00:00"/>
    <s v="CUST386"/>
    <s v="Abhicandra"/>
    <x v="0"/>
    <x v="2"/>
    <x v="6"/>
    <n v="3"/>
    <n v="10"/>
    <x v="24"/>
    <n v="3"/>
  </r>
  <r>
    <s v="ORD387"/>
    <d v="2024-09-07T00:00:00"/>
    <s v="CUST387"/>
    <s v="Abhichandra"/>
    <x v="0"/>
    <x v="0"/>
    <x v="0"/>
    <n v="4"/>
    <n v="363"/>
    <x v="286"/>
    <n v="1"/>
  </r>
  <r>
    <s v="ORD388"/>
    <d v="2024-03-11T00:00:00"/>
    <s v="CUST388"/>
    <s v="Abhideep"/>
    <x v="1"/>
    <x v="0"/>
    <x v="0"/>
    <n v="4"/>
    <n v="291"/>
    <x v="287"/>
    <n v="2"/>
  </r>
  <r>
    <s v="ORD389"/>
    <d v="2024-05-16T00:00:00"/>
    <s v="CUST389"/>
    <s v="Abhidharm"/>
    <x v="1"/>
    <x v="1"/>
    <x v="5"/>
    <n v="1"/>
    <n v="298"/>
    <x v="17"/>
    <n v="1"/>
  </r>
  <r>
    <s v="ORD390"/>
    <d v="2024-04-09T00:00:00"/>
    <s v="CUST390"/>
    <s v="Abhidi"/>
    <x v="1"/>
    <x v="0"/>
    <x v="3"/>
    <n v="4"/>
    <n v="308"/>
    <x v="288"/>
    <n v="4"/>
  </r>
  <r>
    <s v="ORD391"/>
    <d v="2024-08-28T00:00:00"/>
    <s v="CUST391"/>
    <s v="Abhigyaan"/>
    <x v="1"/>
    <x v="1"/>
    <x v="2"/>
    <n v="4"/>
    <n v="226"/>
    <x v="289"/>
    <n v="3"/>
  </r>
  <r>
    <s v="ORD392"/>
    <d v="2024-07-20T00:00:00"/>
    <s v="CUST392"/>
    <s v="Abhihas"/>
    <x v="1"/>
    <x v="0"/>
    <x v="3"/>
    <n v="4"/>
    <n v="309"/>
    <x v="290"/>
    <n v="1"/>
  </r>
  <r>
    <s v="ORD393"/>
    <d v="2024-08-23T00:00:00"/>
    <s v="CUST393"/>
    <s v="Abhihita"/>
    <x v="1"/>
    <x v="0"/>
    <x v="3"/>
    <n v="2"/>
    <n v="203"/>
    <x v="291"/>
    <n v="3"/>
  </r>
  <r>
    <s v="ORD394"/>
    <d v="2024-02-09T00:00:00"/>
    <s v="CUST394"/>
    <s v="Abhijaat"/>
    <x v="1"/>
    <x v="0"/>
    <x v="0"/>
    <n v="2"/>
    <n v="390"/>
    <x v="241"/>
    <n v="1"/>
  </r>
  <r>
    <s v="ORD395"/>
    <d v="2024-07-20T00:00:00"/>
    <s v="CUST395"/>
    <s v="Abhijan"/>
    <x v="0"/>
    <x v="0"/>
    <x v="0"/>
    <n v="4"/>
    <n v="302"/>
    <x v="292"/>
    <n v="2"/>
  </r>
  <r>
    <s v="ORD396"/>
    <d v="2024-05-08T00:00:00"/>
    <s v="CUST396"/>
    <s v="Abhijat"/>
    <x v="1"/>
    <x v="1"/>
    <x v="5"/>
    <n v="1"/>
    <n v="145"/>
    <x v="293"/>
    <n v="1"/>
  </r>
  <r>
    <s v="ORD397"/>
    <d v="2024-01-26T00:00:00"/>
    <s v="CUST397"/>
    <s v="Abhijath"/>
    <x v="0"/>
    <x v="2"/>
    <x v="6"/>
    <n v="5"/>
    <n v="32"/>
    <x v="132"/>
    <n v="1"/>
  </r>
  <r>
    <s v="ORD398"/>
    <d v="2024-02-12T00:00:00"/>
    <s v="CUST398"/>
    <s v="Abhijay"/>
    <x v="0"/>
    <x v="0"/>
    <x v="1"/>
    <n v="4"/>
    <n v="361"/>
    <x v="294"/>
    <n v="1"/>
  </r>
  <r>
    <s v="ORD399"/>
    <d v="2024-03-08T00:00:00"/>
    <s v="CUST399"/>
    <s v="Abhijaya"/>
    <x v="1"/>
    <x v="1"/>
    <x v="8"/>
    <n v="4"/>
    <n v="253"/>
    <x v="295"/>
    <n v="2"/>
  </r>
  <r>
    <s v="ORD400"/>
    <d v="2024-04-07T00:00:00"/>
    <s v="CUST400"/>
    <s v="Abhijeet"/>
    <x v="1"/>
    <x v="0"/>
    <x v="3"/>
    <n v="3"/>
    <n v="360"/>
    <x v="136"/>
    <n v="5"/>
  </r>
  <r>
    <s v="ORD401"/>
    <d v="2024-03-05T00:00:00"/>
    <s v="CUST401"/>
    <s v="Abhijit"/>
    <x v="0"/>
    <x v="0"/>
    <x v="3"/>
    <n v="5"/>
    <n v="490"/>
    <x v="296"/>
    <n v="3"/>
  </r>
  <r>
    <s v="ORD402"/>
    <d v="2024-06-30T00:00:00"/>
    <s v="CUST402"/>
    <s v="Abhijith"/>
    <x v="0"/>
    <x v="2"/>
    <x v="7"/>
    <n v="3"/>
    <n v="17"/>
    <x v="193"/>
    <n v="2"/>
  </r>
  <r>
    <s v="ORD403"/>
    <d v="2024-04-01T00:00:00"/>
    <s v="CUST403"/>
    <s v="Abhijun"/>
    <x v="1"/>
    <x v="1"/>
    <x v="8"/>
    <n v="3"/>
    <n v="178"/>
    <x v="199"/>
    <n v="2"/>
  </r>
  <r>
    <s v="ORD404"/>
    <d v="2024-05-27T00:00:00"/>
    <s v="CUST404"/>
    <s v="Abhijvala"/>
    <x v="0"/>
    <x v="0"/>
    <x v="0"/>
    <n v="5"/>
    <n v="395"/>
    <x v="297"/>
    <n v="3"/>
  </r>
  <r>
    <s v="ORD405"/>
    <d v="2024-02-04T00:00:00"/>
    <s v="CUST405"/>
    <s v="Abhik"/>
    <x v="1"/>
    <x v="1"/>
    <x v="8"/>
    <n v="3"/>
    <n v="240"/>
    <x v="298"/>
    <n v="2"/>
  </r>
  <r>
    <s v="ORD406"/>
    <d v="2024-09-28T00:00:00"/>
    <s v="CUST406"/>
    <s v="Abhikam"/>
    <x v="0"/>
    <x v="0"/>
    <x v="0"/>
    <n v="5"/>
    <n v="225"/>
    <x v="299"/>
    <n v="2"/>
  </r>
  <r>
    <s v="ORD407"/>
    <d v="2024-01-05T00:00:00"/>
    <s v="CUST407"/>
    <s v="Abhilash"/>
    <x v="1"/>
    <x v="1"/>
    <x v="8"/>
    <n v="4"/>
    <n v="220"/>
    <x v="300"/>
    <n v="1"/>
  </r>
  <r>
    <s v="ORD408"/>
    <d v="2024-01-19T00:00:00"/>
    <s v="CUST408"/>
    <s v="Abhilesh"/>
    <x v="1"/>
    <x v="1"/>
    <x v="5"/>
    <n v="3"/>
    <n v="163"/>
    <x v="301"/>
    <n v="1"/>
  </r>
  <r>
    <s v="ORD409"/>
    <d v="2024-08-11T00:00:00"/>
    <s v="CUST409"/>
    <s v="Abhim"/>
    <x v="0"/>
    <x v="2"/>
    <x v="4"/>
    <n v="3"/>
    <n v="25"/>
    <x v="183"/>
    <n v="2"/>
  </r>
  <r>
    <s v="ORD410"/>
    <d v="2024-09-10T00:00:00"/>
    <s v="CUST410"/>
    <s v="Abhimaan"/>
    <x v="1"/>
    <x v="2"/>
    <x v="7"/>
    <n v="3"/>
    <n v="12"/>
    <x v="13"/>
    <n v="1"/>
  </r>
  <r>
    <s v="ORD411"/>
    <d v="2024-04-01T00:00:00"/>
    <s v="CUST411"/>
    <s v="Abhiman"/>
    <x v="1"/>
    <x v="0"/>
    <x v="1"/>
    <n v="4"/>
    <n v="349"/>
    <x v="302"/>
    <n v="1"/>
  </r>
  <r>
    <s v="ORD412"/>
    <d v="2024-09-09T00:00:00"/>
    <s v="CUST412"/>
    <s v="Abhimand"/>
    <x v="1"/>
    <x v="1"/>
    <x v="5"/>
    <n v="4"/>
    <n v="117"/>
    <x v="9"/>
    <n v="3"/>
  </r>
  <r>
    <s v="ORD413"/>
    <d v="2024-04-04T00:00:00"/>
    <s v="CUST413"/>
    <s v="Abhimani"/>
    <x v="1"/>
    <x v="2"/>
    <x v="6"/>
    <n v="1"/>
    <n v="34"/>
    <x v="226"/>
    <n v="1"/>
  </r>
  <r>
    <s v="ORD414"/>
    <d v="2024-07-26T00:00:00"/>
    <s v="CUST414"/>
    <s v="Abhimanuya"/>
    <x v="1"/>
    <x v="1"/>
    <x v="8"/>
    <n v="3"/>
    <n v="206"/>
    <x v="134"/>
    <n v="2"/>
  </r>
  <r>
    <s v="ORD415"/>
    <d v="2024-07-27T00:00:00"/>
    <s v="CUST415"/>
    <s v="Abhimanya"/>
    <x v="0"/>
    <x v="1"/>
    <x v="2"/>
    <n v="2"/>
    <n v="202"/>
    <x v="128"/>
    <n v="2"/>
  </r>
  <r>
    <s v="ORD416"/>
    <d v="2024-03-20T00:00:00"/>
    <s v="CUST416"/>
    <s v="Abhimanyu"/>
    <x v="0"/>
    <x v="2"/>
    <x v="7"/>
    <n v="4"/>
    <n v="20"/>
    <x v="203"/>
    <n v="1"/>
  </r>
  <r>
    <s v="ORD417"/>
    <d v="2024-09-04T00:00:00"/>
    <s v="CUST417"/>
    <s v="Abhimanyusuta"/>
    <x v="1"/>
    <x v="2"/>
    <x v="6"/>
    <n v="4"/>
    <n v="32"/>
    <x v="104"/>
    <n v="4"/>
  </r>
  <r>
    <s v="ORD418"/>
    <d v="2024-03-25T00:00:00"/>
    <s v="CUST418"/>
    <s v="Abhimath"/>
    <x v="0"/>
    <x v="1"/>
    <x v="8"/>
    <n v="5"/>
    <n v="116"/>
    <x v="163"/>
    <n v="1"/>
  </r>
  <r>
    <s v="ORD419"/>
    <d v="2024-05-07T00:00:00"/>
    <s v="CUST419"/>
    <s v="Abhimoda"/>
    <x v="0"/>
    <x v="2"/>
    <x v="4"/>
    <n v="5"/>
    <n v="15"/>
    <x v="183"/>
    <n v="2"/>
  </r>
  <r>
    <s v="ORD420"/>
    <d v="2024-01-04T00:00:00"/>
    <s v="CUST420"/>
    <s v="Abhinabhas"/>
    <x v="0"/>
    <x v="0"/>
    <x v="3"/>
    <n v="5"/>
    <n v="499"/>
    <x v="220"/>
    <n v="3"/>
  </r>
  <r>
    <s v="ORD421"/>
    <d v="2024-03-19T00:00:00"/>
    <s v="CUST421"/>
    <s v="Abhinand"/>
    <x v="1"/>
    <x v="2"/>
    <x v="6"/>
    <n v="3"/>
    <n v="50"/>
    <x v="303"/>
    <n v="1"/>
  </r>
  <r>
    <s v="ORD422"/>
    <d v="2024-09-25T00:00:00"/>
    <s v="CUST422"/>
    <s v="Abhinanda"/>
    <x v="1"/>
    <x v="0"/>
    <x v="1"/>
    <n v="1"/>
    <n v="239"/>
    <x v="304"/>
    <n v="1"/>
  </r>
  <r>
    <s v="ORD423"/>
    <d v="2024-03-06T00:00:00"/>
    <s v="CUST423"/>
    <s v="Abhinandan"/>
    <x v="1"/>
    <x v="0"/>
    <x v="3"/>
    <n v="3"/>
    <n v="218"/>
    <x v="305"/>
    <n v="2"/>
  </r>
  <r>
    <s v="ORD424"/>
    <d v="2024-01-07T00:00:00"/>
    <s v="CUST424"/>
    <s v="Abhinandan"/>
    <x v="1"/>
    <x v="0"/>
    <x v="1"/>
    <n v="3"/>
    <n v="374"/>
    <x v="306"/>
    <n v="2"/>
  </r>
  <r>
    <s v="ORD425"/>
    <d v="2024-07-25T00:00:00"/>
    <s v="CUST425"/>
    <s v="Abhinandana"/>
    <x v="0"/>
    <x v="1"/>
    <x v="8"/>
    <n v="3"/>
    <n v="287"/>
    <x v="307"/>
    <n v="4"/>
  </r>
  <r>
    <s v="ORD426"/>
    <d v="2024-02-20T00:00:00"/>
    <s v="CUST426"/>
    <s v="Abhinandana"/>
    <x v="1"/>
    <x v="0"/>
    <x v="3"/>
    <n v="3"/>
    <n v="484"/>
    <x v="286"/>
    <n v="4"/>
  </r>
  <r>
    <s v="ORD427"/>
    <d v="2024-03-22T00:00:00"/>
    <s v="CUST427"/>
    <s v="Abhinash"/>
    <x v="0"/>
    <x v="0"/>
    <x v="1"/>
    <n v="2"/>
    <n v="435"/>
    <x v="37"/>
    <n v="2"/>
  </r>
  <r>
    <s v="ORD428"/>
    <d v="2024-02-28T00:00:00"/>
    <s v="CUST428"/>
    <s v="Abhinatha"/>
    <x v="0"/>
    <x v="0"/>
    <x v="0"/>
    <n v="4"/>
    <n v="311"/>
    <x v="308"/>
    <n v="2"/>
  </r>
  <r>
    <s v="ORD429"/>
    <d v="2024-07-20T00:00:00"/>
    <s v="CUST429"/>
    <s v="Abhinav"/>
    <x v="0"/>
    <x v="1"/>
    <x v="2"/>
    <n v="4"/>
    <n v="193"/>
    <x v="70"/>
    <n v="1"/>
  </r>
  <r>
    <s v="ORD430"/>
    <d v="2024-07-30T00:00:00"/>
    <s v="CUST430"/>
    <s v="Abhinava"/>
    <x v="1"/>
    <x v="1"/>
    <x v="5"/>
    <n v="2"/>
    <n v="296"/>
    <x v="309"/>
    <n v="2"/>
  </r>
  <r>
    <s v="ORD431"/>
    <d v="2024-09-18T00:00:00"/>
    <s v="CUST431"/>
    <s v="Abhinay"/>
    <x v="1"/>
    <x v="1"/>
    <x v="5"/>
    <n v="1"/>
    <n v="143"/>
    <x v="92"/>
    <n v="2"/>
  </r>
  <r>
    <s v="ORD432"/>
    <d v="2024-09-25T00:00:00"/>
    <s v="CUST432"/>
    <s v="Abhineet"/>
    <x v="1"/>
    <x v="1"/>
    <x v="5"/>
    <n v="4"/>
    <n v="219"/>
    <x v="310"/>
    <n v="3"/>
  </r>
  <r>
    <s v="ORD433"/>
    <d v="2024-01-12T00:00:00"/>
    <s v="CUST433"/>
    <s v="Abhinesh"/>
    <x v="1"/>
    <x v="0"/>
    <x v="3"/>
    <n v="1"/>
    <n v="275"/>
    <x v="311"/>
    <n v="3"/>
  </r>
  <r>
    <s v="ORD434"/>
    <d v="2024-07-05T00:00:00"/>
    <s v="CUST434"/>
    <s v="Abhinit"/>
    <x v="0"/>
    <x v="2"/>
    <x v="6"/>
    <n v="4"/>
    <n v="38"/>
    <x v="312"/>
    <n v="3"/>
  </r>
  <r>
    <s v="ORD435"/>
    <d v="2024-03-14T00:00:00"/>
    <s v="CUST435"/>
    <s v="Abhinivesh"/>
    <x v="1"/>
    <x v="0"/>
    <x v="1"/>
    <n v="1"/>
    <n v="278"/>
    <x v="313"/>
    <n v="1"/>
  </r>
  <r>
    <s v="ORD436"/>
    <d v="2024-07-16T00:00:00"/>
    <s v="CUST436"/>
    <s v="Abhinu"/>
    <x v="1"/>
    <x v="0"/>
    <x v="1"/>
    <n v="3"/>
    <n v="321"/>
    <x v="314"/>
    <n v="2"/>
  </r>
  <r>
    <s v="ORD437"/>
    <d v="2024-03-10T00:00:00"/>
    <s v="CUST437"/>
    <s v="Abhipuj"/>
    <x v="0"/>
    <x v="0"/>
    <x v="3"/>
    <n v="4"/>
    <n v="396"/>
    <x v="315"/>
    <n v="3"/>
  </r>
  <r>
    <s v="ORD438"/>
    <d v="2024-08-20T00:00:00"/>
    <s v="CUST438"/>
    <s v="Abhir"/>
    <x v="1"/>
    <x v="0"/>
    <x v="3"/>
    <n v="3"/>
    <n v="283"/>
    <x v="316"/>
    <n v="2"/>
  </r>
  <r>
    <s v="ORD439"/>
    <d v="2024-08-08T00:00:00"/>
    <s v="CUST439"/>
    <s v="Abhiraam"/>
    <x v="0"/>
    <x v="1"/>
    <x v="5"/>
    <n v="3"/>
    <n v="135"/>
    <x v="317"/>
    <n v="3"/>
  </r>
  <r>
    <s v="ORD440"/>
    <d v="2024-09-02T00:00:00"/>
    <s v="CUST440"/>
    <s v="Abhiraj"/>
    <x v="1"/>
    <x v="0"/>
    <x v="0"/>
    <n v="3"/>
    <n v="467"/>
    <x v="318"/>
    <n v="2"/>
  </r>
  <r>
    <s v="ORD441"/>
    <d v="2024-02-16T00:00:00"/>
    <s v="CUST441"/>
    <s v="Abhiral"/>
    <x v="1"/>
    <x v="0"/>
    <x v="3"/>
    <n v="2"/>
    <n v="370"/>
    <x v="319"/>
    <n v="1"/>
  </r>
  <r>
    <s v="ORD442"/>
    <d v="2024-07-21T00:00:00"/>
    <s v="CUST442"/>
    <s v="Abhiram"/>
    <x v="0"/>
    <x v="0"/>
    <x v="3"/>
    <n v="5"/>
    <n v="219"/>
    <x v="105"/>
    <n v="2"/>
  </r>
  <r>
    <s v="ORD443"/>
    <d v="2024-02-01T00:00:00"/>
    <s v="CUST443"/>
    <s v="Abhirath"/>
    <x v="1"/>
    <x v="2"/>
    <x v="7"/>
    <n v="3"/>
    <n v="29"/>
    <x v="320"/>
    <n v="4"/>
  </r>
  <r>
    <s v="ORD444"/>
    <d v="2024-02-24T00:00:00"/>
    <s v="CUST444"/>
    <s v="Abhiroop"/>
    <x v="0"/>
    <x v="2"/>
    <x v="6"/>
    <n v="2"/>
    <n v="48"/>
    <x v="34"/>
    <n v="1"/>
  </r>
  <r>
    <s v="ORD445"/>
    <d v="2024-02-29T00:00:00"/>
    <s v="CUST445"/>
    <s v="Abhirup"/>
    <x v="0"/>
    <x v="1"/>
    <x v="2"/>
    <n v="3"/>
    <n v="272"/>
    <x v="321"/>
    <n v="2"/>
  </r>
  <r>
    <s v="ORD446"/>
    <d v="2024-09-20T00:00:00"/>
    <s v="CUST446"/>
    <s v="Abhisar"/>
    <x v="0"/>
    <x v="1"/>
    <x v="8"/>
    <n v="3"/>
    <n v="233"/>
    <x v="322"/>
    <n v="1"/>
  </r>
  <r>
    <s v="ORD447"/>
    <d v="2024-02-05T00:00:00"/>
    <s v="CUST447"/>
    <s v="Abhisek"/>
    <x v="1"/>
    <x v="0"/>
    <x v="1"/>
    <n v="2"/>
    <n v="408"/>
    <x v="321"/>
    <n v="3"/>
  </r>
  <r>
    <s v="ORD448"/>
    <d v="2024-02-28T00:00:00"/>
    <s v="CUST448"/>
    <s v="Abhisheik"/>
    <x v="0"/>
    <x v="0"/>
    <x v="3"/>
    <n v="2"/>
    <n v="478"/>
    <x v="323"/>
    <n v="3"/>
  </r>
  <r>
    <s v="ORD449"/>
    <d v="2024-08-17T00:00:00"/>
    <s v="CUST449"/>
    <s v="Abhishek"/>
    <x v="0"/>
    <x v="0"/>
    <x v="0"/>
    <n v="4"/>
    <n v="224"/>
    <x v="151"/>
    <n v="3"/>
  </r>
  <r>
    <s v="ORD450"/>
    <d v="2024-02-15T00:00:00"/>
    <s v="CUST450"/>
    <s v="Abhishekita"/>
    <x v="0"/>
    <x v="0"/>
    <x v="0"/>
    <n v="4"/>
    <n v="284"/>
    <x v="324"/>
    <n v="1"/>
  </r>
  <r>
    <s v="ORD451"/>
    <d v="2024-04-04T00:00:00"/>
    <s v="CUST451"/>
    <s v="Abhishrey"/>
    <x v="1"/>
    <x v="2"/>
    <x v="7"/>
    <n v="4"/>
    <n v="40"/>
    <x v="132"/>
    <n v="1"/>
  </r>
  <r>
    <s v="ORD452"/>
    <d v="2024-04-16T00:00:00"/>
    <s v="CUST452"/>
    <s v="Abhisoka"/>
    <x v="0"/>
    <x v="0"/>
    <x v="1"/>
    <n v="4"/>
    <n v="221"/>
    <x v="325"/>
    <n v="2"/>
  </r>
  <r>
    <s v="ORD453"/>
    <d v="2024-02-04T00:00:00"/>
    <s v="CUST453"/>
    <s v="Abhisumat"/>
    <x v="1"/>
    <x v="2"/>
    <x v="6"/>
    <n v="5"/>
    <n v="12"/>
    <x v="79"/>
    <n v="2"/>
  </r>
  <r>
    <s v="ORD454"/>
    <d v="2024-08-12T00:00:00"/>
    <s v="CUST454"/>
    <s v="Abhisumath"/>
    <x v="0"/>
    <x v="2"/>
    <x v="4"/>
    <n v="1"/>
    <n v="35"/>
    <x v="326"/>
    <n v="2"/>
  </r>
  <r>
    <s v="ORD455"/>
    <d v="2024-01-05T00:00:00"/>
    <s v="CUST455"/>
    <s v="Abhisyanta"/>
    <x v="0"/>
    <x v="0"/>
    <x v="1"/>
    <n v="4"/>
    <n v="344"/>
    <x v="327"/>
    <n v="3"/>
  </r>
  <r>
    <s v="ORD456"/>
    <d v="2024-01-14T00:00:00"/>
    <s v="CUST456"/>
    <s v="Abhith"/>
    <x v="1"/>
    <x v="0"/>
    <x v="3"/>
    <n v="5"/>
    <n v="491"/>
    <x v="328"/>
    <n v="3"/>
  </r>
  <r>
    <s v="ORD457"/>
    <d v="2024-03-28T00:00:00"/>
    <s v="CUST457"/>
    <s v="Abhivaadan"/>
    <x v="0"/>
    <x v="1"/>
    <x v="5"/>
    <n v="5"/>
    <n v="210"/>
    <x v="278"/>
    <n v="1"/>
  </r>
  <r>
    <s v="ORD458"/>
    <d v="2024-04-12T00:00:00"/>
    <s v="CUST458"/>
    <s v="Abhivaadan"/>
    <x v="0"/>
    <x v="1"/>
    <x v="5"/>
    <n v="3"/>
    <n v="194"/>
    <x v="329"/>
    <n v="1"/>
  </r>
  <r>
    <s v="ORD459"/>
    <d v="2024-09-18T00:00:00"/>
    <s v="CUST459"/>
    <s v="Abhivadan"/>
    <x v="0"/>
    <x v="0"/>
    <x v="1"/>
    <n v="1"/>
    <n v="374"/>
    <x v="330"/>
    <n v="1"/>
  </r>
  <r>
    <s v="ORD460"/>
    <d v="2024-03-10T00:00:00"/>
    <s v="CUST460"/>
    <s v="Abhivadan"/>
    <x v="0"/>
    <x v="0"/>
    <x v="3"/>
    <n v="4"/>
    <n v="313"/>
    <x v="331"/>
    <n v="2"/>
  </r>
  <r>
    <s v="ORD461"/>
    <d v="2024-05-28T00:00:00"/>
    <s v="CUST461"/>
    <s v="Abhivanth"/>
    <x v="0"/>
    <x v="1"/>
    <x v="2"/>
    <n v="3"/>
    <n v="131"/>
    <x v="332"/>
    <n v="2"/>
  </r>
  <r>
    <s v="ORD462"/>
    <d v="2024-08-21T00:00:00"/>
    <s v="CUST462"/>
    <s v="Abhivanth"/>
    <x v="0"/>
    <x v="1"/>
    <x v="5"/>
    <n v="3"/>
    <n v="204"/>
    <x v="66"/>
    <n v="5"/>
  </r>
  <r>
    <s v="ORD463"/>
    <d v="2024-08-05T00:00:00"/>
    <s v="CUST463"/>
    <s v="Abivanth"/>
    <x v="0"/>
    <x v="2"/>
    <x v="7"/>
    <n v="4"/>
    <n v="48"/>
    <x v="18"/>
    <n v="2"/>
  </r>
  <r>
    <s v="ORD464"/>
    <d v="2024-05-04T00:00:00"/>
    <s v="CUST464"/>
    <s v="Abhivira"/>
    <x v="0"/>
    <x v="1"/>
    <x v="5"/>
    <n v="5"/>
    <n v="244"/>
    <x v="333"/>
    <n v="1"/>
  </r>
  <r>
    <s v="ORD465"/>
    <d v="2024-03-24T00:00:00"/>
    <s v="CUST465"/>
    <s v="Abhjeet"/>
    <x v="1"/>
    <x v="1"/>
    <x v="8"/>
    <n v="5"/>
    <n v="129"/>
    <x v="334"/>
    <n v="2"/>
  </r>
  <r>
    <s v="ORD466"/>
    <d v="2024-01-15T00:00:00"/>
    <s v="CUST466"/>
    <s v="Abhoy"/>
    <x v="0"/>
    <x v="1"/>
    <x v="8"/>
    <n v="5"/>
    <n v="148"/>
    <x v="319"/>
    <n v="4"/>
  </r>
  <r>
    <s v="ORD467"/>
    <d v="2024-04-08T00:00:00"/>
    <s v="CUST467"/>
    <s v="Abhra"/>
    <x v="1"/>
    <x v="2"/>
    <x v="6"/>
    <n v="5"/>
    <n v="28"/>
    <x v="191"/>
    <n v="3"/>
  </r>
  <r>
    <s v="ORD468"/>
    <d v="2024-07-09T00:00:00"/>
    <s v="CUST468"/>
    <s v="Abhrakasin"/>
    <x v="1"/>
    <x v="1"/>
    <x v="5"/>
    <n v="5"/>
    <n v="293"/>
    <x v="335"/>
    <n v="2"/>
  </r>
  <r>
    <s v="ORD469"/>
    <d v="2024-08-06T00:00:00"/>
    <s v="CUST469"/>
    <s v="Abhram"/>
    <x v="1"/>
    <x v="1"/>
    <x v="2"/>
    <n v="2"/>
    <n v="118"/>
    <x v="336"/>
    <n v="2"/>
  </r>
  <r>
    <s v="ORD470"/>
    <d v="2024-06-04T00:00:00"/>
    <s v="CUST470"/>
    <s v="Abhranila"/>
    <x v="0"/>
    <x v="2"/>
    <x v="7"/>
    <n v="3"/>
    <n v="10"/>
    <x v="24"/>
    <n v="4"/>
  </r>
  <r>
    <s v="ORD471"/>
    <d v="2024-09-02T00:00:00"/>
    <s v="CUST471"/>
    <s v="Abhu"/>
    <x v="1"/>
    <x v="1"/>
    <x v="2"/>
    <n v="5"/>
    <n v="277"/>
    <x v="337"/>
    <n v="1"/>
  </r>
  <r>
    <s v="ORD472"/>
    <d v="2024-05-04T00:00:00"/>
    <s v="CUST472"/>
    <s v="Abhya"/>
    <x v="1"/>
    <x v="0"/>
    <x v="1"/>
    <n v="5"/>
    <n v="234"/>
    <x v="338"/>
    <n v="1"/>
  </r>
  <r>
    <s v="ORD473"/>
    <d v="2024-02-16T00:00:00"/>
    <s v="CUST473"/>
    <s v="Abhyagni"/>
    <x v="1"/>
    <x v="2"/>
    <x v="7"/>
    <n v="4"/>
    <n v="19"/>
    <x v="119"/>
    <n v="3"/>
  </r>
  <r>
    <s v="ORD474"/>
    <d v="2024-08-05T00:00:00"/>
    <s v="CUST474"/>
    <s v="Abhyan"/>
    <x v="1"/>
    <x v="1"/>
    <x v="5"/>
    <n v="2"/>
    <n v="204"/>
    <x v="5"/>
    <n v="3"/>
  </r>
  <r>
    <s v="ORD475"/>
    <d v="2024-07-20T00:00:00"/>
    <s v="CUST475"/>
    <s v="Abhyank"/>
    <x v="0"/>
    <x v="0"/>
    <x v="1"/>
    <n v="1"/>
    <n v="392"/>
    <x v="102"/>
    <n v="2"/>
  </r>
  <r>
    <s v="ORD476"/>
    <d v="2024-01-28T00:00:00"/>
    <s v="CUST476"/>
    <s v="Abhypsit"/>
    <x v="0"/>
    <x v="0"/>
    <x v="1"/>
    <n v="1"/>
    <n v="358"/>
    <x v="339"/>
    <n v="2"/>
  </r>
  <r>
    <s v="ORD477"/>
    <d v="2024-07-04T00:00:00"/>
    <s v="CUST477"/>
    <s v="Abhyuday"/>
    <x v="1"/>
    <x v="1"/>
    <x v="5"/>
    <n v="3"/>
    <n v="190"/>
    <x v="64"/>
    <n v="2"/>
  </r>
  <r>
    <s v="ORD478"/>
    <d v="2024-01-18T00:00:00"/>
    <s v="CUST478"/>
    <s v="Abhyudaya"/>
    <x v="0"/>
    <x v="0"/>
    <x v="0"/>
    <n v="5"/>
    <n v="493"/>
    <x v="340"/>
    <n v="4"/>
  </r>
  <r>
    <s v="ORD479"/>
    <d v="2024-02-12T00:00:00"/>
    <s v="CUST479"/>
    <s v="Abhyudev"/>
    <x v="1"/>
    <x v="0"/>
    <x v="0"/>
    <n v="4"/>
    <n v="381"/>
    <x v="341"/>
    <n v="1"/>
  </r>
  <r>
    <s v="ORD480"/>
    <d v="2024-08-03T00:00:00"/>
    <s v="CUST480"/>
    <s v="Abhyudita"/>
    <x v="1"/>
    <x v="0"/>
    <x v="0"/>
    <n v="3"/>
    <n v="492"/>
    <x v="342"/>
    <n v="2"/>
  </r>
  <r>
    <s v="ORD481"/>
    <d v="2024-02-11T00:00:00"/>
    <s v="CUST481"/>
    <s v="Abid"/>
    <x v="0"/>
    <x v="1"/>
    <x v="5"/>
    <n v="5"/>
    <n v="228"/>
    <x v="343"/>
    <n v="1"/>
  </r>
  <r>
    <s v="ORD482"/>
    <d v="2024-03-31T00:00:00"/>
    <s v="CUST482"/>
    <s v="Abidin"/>
    <x v="0"/>
    <x v="2"/>
    <x v="4"/>
    <n v="4"/>
    <n v="16"/>
    <x v="112"/>
    <n v="1"/>
  </r>
  <r>
    <s v="ORD483"/>
    <d v="2024-01-15T00:00:00"/>
    <s v="CUST483"/>
    <s v="Abijith"/>
    <x v="1"/>
    <x v="0"/>
    <x v="3"/>
    <n v="1"/>
    <n v="255"/>
    <x v="255"/>
    <n v="1"/>
  </r>
  <r>
    <s v="ORD484"/>
    <d v="2024-05-04T00:00:00"/>
    <s v="CUST484"/>
    <s v="Abimanyu"/>
    <x v="0"/>
    <x v="2"/>
    <x v="6"/>
    <n v="4"/>
    <n v="16"/>
    <x v="112"/>
    <n v="2"/>
  </r>
  <r>
    <s v="ORD485"/>
    <d v="2024-07-09T00:00:00"/>
    <s v="CUST485"/>
    <s v="Abinash"/>
    <x v="0"/>
    <x v="1"/>
    <x v="5"/>
    <n v="5"/>
    <n v="236"/>
    <x v="344"/>
    <n v="1"/>
  </r>
  <r>
    <s v="ORD486"/>
    <d v="2024-02-14T00:00:00"/>
    <s v="CUST486"/>
    <s v="Abinav"/>
    <x v="0"/>
    <x v="2"/>
    <x v="7"/>
    <n v="4"/>
    <n v="23"/>
    <x v="58"/>
    <n v="2"/>
  </r>
  <r>
    <s v="ORD487"/>
    <d v="2024-06-28T00:00:00"/>
    <s v="CUST487"/>
    <s v="Abinay"/>
    <x v="0"/>
    <x v="2"/>
    <x v="7"/>
    <n v="2"/>
    <n v="33"/>
    <x v="246"/>
    <n v="1"/>
  </r>
  <r>
    <s v="ORD488"/>
    <d v="2024-04-13T00:00:00"/>
    <s v="CUST488"/>
    <s v="Abinayan"/>
    <x v="0"/>
    <x v="2"/>
    <x v="6"/>
    <n v="2"/>
    <n v="37"/>
    <x v="71"/>
    <n v="1"/>
  </r>
  <r>
    <s v="ORD489"/>
    <d v="2024-05-04T00:00:00"/>
    <s v="CUST489"/>
    <s v="Abinesh"/>
    <x v="0"/>
    <x v="2"/>
    <x v="4"/>
    <n v="2"/>
    <n v="10"/>
    <x v="78"/>
    <n v="4"/>
  </r>
  <r>
    <s v="ORD490"/>
    <d v="2024-08-26T00:00:00"/>
    <s v="CUST490"/>
    <s v="Abinish"/>
    <x v="0"/>
    <x v="0"/>
    <x v="1"/>
    <n v="3"/>
    <n v="474"/>
    <x v="345"/>
    <n v="1"/>
  </r>
  <r>
    <s v="ORD491"/>
    <d v="2024-03-07T00:00:00"/>
    <s v="CUST491"/>
    <s v="Abiram"/>
    <x v="0"/>
    <x v="2"/>
    <x v="4"/>
    <n v="4"/>
    <n v="31"/>
    <x v="219"/>
    <n v="2"/>
  </r>
  <r>
    <s v="ORD492"/>
    <d v="2024-04-11T00:00:00"/>
    <s v="CUST492"/>
    <s v="Abisali"/>
    <x v="1"/>
    <x v="2"/>
    <x v="4"/>
    <n v="3"/>
    <n v="13"/>
    <x v="210"/>
    <n v="2"/>
  </r>
  <r>
    <s v="ORD493"/>
    <d v="2024-08-13T00:00:00"/>
    <s v="CUST493"/>
    <s v="Abishek"/>
    <x v="1"/>
    <x v="1"/>
    <x v="8"/>
    <n v="4"/>
    <n v="165"/>
    <x v="346"/>
    <n v="3"/>
  </r>
  <r>
    <s v="ORD494"/>
    <d v="2024-02-18T00:00:00"/>
    <s v="CUST494"/>
    <s v="Abivanth"/>
    <x v="0"/>
    <x v="0"/>
    <x v="0"/>
    <n v="4"/>
    <n v="239"/>
    <x v="323"/>
    <n v="3"/>
  </r>
  <r>
    <s v="ORD495"/>
    <d v="2024-07-18T00:00:00"/>
    <s v="CUST495"/>
    <s v="Abjayoni"/>
    <x v="0"/>
    <x v="1"/>
    <x v="5"/>
    <n v="1"/>
    <n v="239"/>
    <x v="304"/>
    <n v="1"/>
  </r>
  <r>
    <s v="ORD496"/>
    <d v="2024-03-22T00:00:00"/>
    <s v="CUST496"/>
    <s v="Abjit"/>
    <x v="0"/>
    <x v="2"/>
    <x v="4"/>
    <n v="4"/>
    <n v="46"/>
    <x v="347"/>
    <n v="3"/>
  </r>
  <r>
    <s v="ORD497"/>
    <d v="2024-06-06T00:00:00"/>
    <s v="CUST497"/>
    <s v="Abner"/>
    <x v="0"/>
    <x v="0"/>
    <x v="3"/>
    <n v="5"/>
    <n v="404"/>
    <x v="348"/>
    <n v="2"/>
  </r>
  <r>
    <s v="ORD498"/>
    <d v="2024-02-25T00:00:00"/>
    <s v="CUST498"/>
    <s v="Abninayan"/>
    <x v="1"/>
    <x v="2"/>
    <x v="6"/>
    <n v="4"/>
    <n v="12"/>
    <x v="154"/>
    <n v="1"/>
  </r>
  <r>
    <s v="ORD499"/>
    <d v="2024-04-23T00:00:00"/>
    <s v="CUST499"/>
    <s v="Abra"/>
    <x v="0"/>
    <x v="2"/>
    <x v="6"/>
    <n v="3"/>
    <n v="47"/>
    <x v="59"/>
    <n v="2"/>
  </r>
  <r>
    <s v="ORD500"/>
    <d v="2024-09-12T00:00:00"/>
    <s v="CUST500"/>
    <s v="Abrad"/>
    <x v="0"/>
    <x v="0"/>
    <x v="0"/>
    <n v="2"/>
    <n v="363"/>
    <x v="349"/>
    <n v="1"/>
  </r>
  <r>
    <s v="ORD501"/>
    <d v="2024-06-23T00:00:00"/>
    <s v="CUST420"/>
    <s v="Abheesht"/>
    <x v="1"/>
    <x v="2"/>
    <x v="6"/>
    <n v="2"/>
    <n v="31"/>
    <x v="51"/>
    <n v="2"/>
  </r>
  <r>
    <s v="ORD502"/>
    <d v="2024-09-03T00:00:00"/>
    <s v="CUST440"/>
    <s v="Abhinandan"/>
    <x v="1"/>
    <x v="1"/>
    <x v="5"/>
    <n v="4"/>
    <n v="154"/>
    <x v="350"/>
    <n v="1"/>
  </r>
  <r>
    <s v="ORD503"/>
    <d v="2024-03-12T00:00:00"/>
    <s v="CUST028"/>
    <s v="Aadhyatm"/>
    <x v="0"/>
    <x v="2"/>
    <x v="7"/>
    <n v="5"/>
    <n v="30"/>
    <x v="303"/>
    <n v="3"/>
  </r>
  <r>
    <s v="ORD504"/>
    <d v="2024-03-22T00:00:00"/>
    <s v="CUST366"/>
    <s v="Aadim"/>
    <x v="1"/>
    <x v="0"/>
    <x v="1"/>
    <n v="3"/>
    <n v="368"/>
    <x v="351"/>
    <n v="1"/>
  </r>
  <r>
    <s v="ORD505"/>
    <d v="2024-03-15T00:00:00"/>
    <s v="CUST449"/>
    <e v="#REF!"/>
    <x v="0"/>
    <x v="0"/>
    <x v="0"/>
    <n v="2"/>
    <n v="216"/>
    <x v="162"/>
    <n v="2"/>
  </r>
  <r>
    <s v="ORD506"/>
    <d v="2024-03-29T00:00:00"/>
    <s v="CUST021"/>
    <s v="Aayu"/>
    <x v="0"/>
    <x v="0"/>
    <x v="1"/>
    <n v="5"/>
    <n v="437"/>
    <x v="352"/>
    <n v="2"/>
  </r>
  <r>
    <s v="ORD507"/>
    <d v="2024-03-13T00:00:00"/>
    <s v="CUST363"/>
    <s v="Abeer"/>
    <x v="0"/>
    <x v="0"/>
    <x v="1"/>
    <n v="4"/>
    <n v="459"/>
    <x v="353"/>
    <n v="1"/>
  </r>
  <r>
    <s v="ORD508"/>
    <d v="2024-04-27T00:00:00"/>
    <s v="CUST470"/>
    <s v="Abhisheik"/>
    <x v="1"/>
    <x v="0"/>
    <x v="1"/>
    <n v="2"/>
    <n v="322"/>
    <x v="198"/>
    <n v="3"/>
  </r>
  <r>
    <s v="ORD509"/>
    <d v="2024-01-02T00:00:00"/>
    <s v="CUST265"/>
    <s v="Adil"/>
    <x v="0"/>
    <x v="2"/>
    <x v="6"/>
    <n v="3"/>
    <n v="45"/>
    <x v="248"/>
    <n v="2"/>
  </r>
  <r>
    <s v="ORD510"/>
    <d v="2024-04-24T00:00:00"/>
    <s v="CUST247"/>
    <s v="Abbott"/>
    <x v="1"/>
    <x v="1"/>
    <x v="5"/>
    <n v="3"/>
    <n v="187"/>
    <x v="354"/>
    <n v="2"/>
  </r>
  <r>
    <s v="ORD511"/>
    <d v="2024-05-23T00:00:00"/>
    <s v="CUST181"/>
    <s v="Aathiruban"/>
    <x v="0"/>
    <x v="0"/>
    <x v="1"/>
    <n v="2"/>
    <n v="272"/>
    <x v="355"/>
    <n v="1"/>
  </r>
  <r>
    <s v="ORD512"/>
    <d v="2024-07-08T00:00:00"/>
    <s v="CUST400"/>
    <s v="Abdus Salaam"/>
    <x v="0"/>
    <x v="2"/>
    <x v="6"/>
    <n v="5"/>
    <n v="42"/>
    <x v="131"/>
    <n v="4"/>
  </r>
  <r>
    <s v="ORD513"/>
    <d v="2024-04-15T00:00:00"/>
    <s v="CUST297"/>
    <s v="Aanandswarup"/>
    <x v="0"/>
    <x v="0"/>
    <x v="1"/>
    <n v="2"/>
    <n v="431"/>
    <x v="356"/>
    <n v="3"/>
  </r>
  <r>
    <s v="ORD514"/>
    <d v="2024-05-05T00:00:00"/>
    <s v="CUST077"/>
    <s v="Aadhiseshwar"/>
    <x v="1"/>
    <x v="1"/>
    <x v="2"/>
    <n v="4"/>
    <n v="152"/>
    <x v="357"/>
    <n v="2"/>
  </r>
  <r>
    <s v="ORD515"/>
    <d v="2024-02-17T00:00:00"/>
    <s v="CUST261"/>
    <s v="Aadarko"/>
    <x v="0"/>
    <x v="1"/>
    <x v="5"/>
    <n v="1"/>
    <n v="161"/>
    <x v="358"/>
    <n v="2"/>
  </r>
  <r>
    <s v="ORD516"/>
    <d v="2024-06-27T00:00:00"/>
    <s v="CUST295"/>
    <s v="Aarjav"/>
    <x v="0"/>
    <x v="0"/>
    <x v="1"/>
    <n v="4"/>
    <n v="217"/>
    <x v="179"/>
    <n v="1"/>
  </r>
  <r>
    <s v="ORD517"/>
    <d v="2024-01-30T00:00:00"/>
    <s v="CUST448"/>
    <s v="Aadhiran"/>
    <x v="0"/>
    <x v="2"/>
    <x v="7"/>
    <n v="2"/>
    <n v="30"/>
    <x v="79"/>
    <n v="2"/>
  </r>
  <r>
    <s v="ORD518"/>
    <d v="2024-04-13T00:00:00"/>
    <s v="CUST188"/>
    <s v="Abhayananda"/>
    <x v="1"/>
    <x v="0"/>
    <x v="0"/>
    <n v="5"/>
    <n v="231"/>
    <x v="359"/>
    <n v="5"/>
  </r>
  <r>
    <s v="ORD519"/>
    <d v="2024-05-12T00:00:00"/>
    <s v="CUST361"/>
    <s v="Aatheshan"/>
    <x v="0"/>
    <x v="1"/>
    <x v="5"/>
    <n v="2"/>
    <n v="118"/>
    <x v="336"/>
    <n v="1"/>
  </r>
  <r>
    <s v="ORD520"/>
    <d v="2024-09-19T00:00:00"/>
    <s v="CUST251"/>
    <s v="Abhyudita"/>
    <x v="0"/>
    <x v="2"/>
    <x v="6"/>
    <n v="2"/>
    <n v="14"/>
    <x v="360"/>
    <n v="1"/>
  </r>
  <r>
    <s v="ORD521"/>
    <d v="2024-03-15T00:00:00"/>
    <s v="CUST390"/>
    <s v="Aadanyan"/>
    <x v="0"/>
    <x v="1"/>
    <x v="8"/>
    <n v="1"/>
    <n v="241"/>
    <x v="283"/>
    <n v="3"/>
  </r>
  <r>
    <s v="ORD522"/>
    <d v="2024-08-09T00:00:00"/>
    <s v="CUST142"/>
    <s v="Abhisar"/>
    <x v="1"/>
    <x v="1"/>
    <x v="2"/>
    <n v="2"/>
    <n v="166"/>
    <x v="361"/>
    <n v="3"/>
  </r>
  <r>
    <s v="ORD523"/>
    <d v="2024-07-10T00:00:00"/>
    <s v="CUST216"/>
    <s v="Aalamarchelvan"/>
    <x v="0"/>
    <x v="2"/>
    <x v="4"/>
    <n v="1"/>
    <n v="37"/>
    <x v="362"/>
    <n v="4"/>
  </r>
  <r>
    <s v="ORD524"/>
    <d v="2024-09-23T00:00:00"/>
    <s v="CUST364"/>
    <s v="Abbudin"/>
    <x v="0"/>
    <x v="0"/>
    <x v="0"/>
    <n v="5"/>
    <n v="377"/>
    <x v="363"/>
    <n v="2"/>
  </r>
  <r>
    <s v="ORD525"/>
    <d v="2024-08-18T00:00:00"/>
    <s v="CUST149"/>
    <s v="Aathipan"/>
    <x v="0"/>
    <x v="2"/>
    <x v="7"/>
    <n v="2"/>
    <n v="25"/>
    <x v="215"/>
    <n v="2"/>
  </r>
  <r>
    <s v="ORD526"/>
    <d v="2024-02-28T00:00:00"/>
    <s v="CUST336"/>
    <s v="Aakampan"/>
    <x v="1"/>
    <x v="1"/>
    <x v="2"/>
    <n v="3"/>
    <n v="299"/>
    <x v="364"/>
    <n v="3"/>
  </r>
  <r>
    <s v="ORD527"/>
    <d v="2024-04-28T00:00:00"/>
    <s v="CUST016"/>
    <s v="Abdus Sami"/>
    <x v="1"/>
    <x v="0"/>
    <x v="1"/>
    <n v="1"/>
    <n v="231"/>
    <x v="365"/>
    <n v="2"/>
  </r>
  <r>
    <s v="ORD528"/>
    <d v="2024-06-06T00:00:00"/>
    <s v="CUST474"/>
    <s v="Aaryak"/>
    <x v="0"/>
    <x v="1"/>
    <x v="2"/>
    <n v="5"/>
    <n v="170"/>
    <x v="366"/>
    <n v="2"/>
  </r>
  <r>
    <s v="ORD529"/>
    <d v="2024-01-25T00:00:00"/>
    <s v="CUST463"/>
    <s v="Aadarko"/>
    <x v="0"/>
    <x v="1"/>
    <x v="2"/>
    <n v="4"/>
    <n v="235"/>
    <x v="367"/>
    <n v="1"/>
  </r>
  <r>
    <s v="ORD530"/>
    <d v="2024-04-22T00:00:00"/>
    <s v="CUST085"/>
    <s v="Aaqil"/>
    <x v="0"/>
    <x v="2"/>
    <x v="6"/>
    <n v="2"/>
    <n v="13"/>
    <x v="6"/>
    <n v="4"/>
  </r>
  <r>
    <s v="ORD531"/>
    <d v="2024-02-21T00:00:00"/>
    <s v="CUST283"/>
    <s v="Aadalarasan"/>
    <x v="0"/>
    <x v="2"/>
    <x v="4"/>
    <n v="3"/>
    <n v="22"/>
    <x v="246"/>
    <n v="1"/>
  </r>
  <r>
    <s v="ORD532"/>
    <d v="2024-01-26T00:00:00"/>
    <s v="CUST088"/>
    <s v="Aastik"/>
    <x v="1"/>
    <x v="1"/>
    <x v="2"/>
    <n v="2"/>
    <n v="128"/>
    <x v="368"/>
    <n v="3"/>
  </r>
  <r>
    <s v="ORD533"/>
    <d v="2024-01-23T00:00:00"/>
    <s v="CUST231"/>
    <s v="Aanay"/>
    <x v="1"/>
    <x v="0"/>
    <x v="3"/>
    <n v="4"/>
    <n v="330"/>
    <x v="369"/>
    <n v="2"/>
  </r>
  <r>
    <s v="ORD534"/>
    <d v="2024-04-16T00:00:00"/>
    <s v="CUST131"/>
    <s v="Aakaash"/>
    <x v="1"/>
    <x v="1"/>
    <x v="5"/>
    <n v="4"/>
    <n v="114"/>
    <x v="245"/>
    <n v="1"/>
  </r>
  <r>
    <s v="ORD535"/>
    <d v="2024-04-21T00:00:00"/>
    <s v="CUST254"/>
    <s v="Aaradhak"/>
    <x v="0"/>
    <x v="0"/>
    <x v="3"/>
    <n v="3"/>
    <n v="402"/>
    <x v="370"/>
    <n v="1"/>
  </r>
  <r>
    <s v="ORD536"/>
    <d v="2024-04-29T00:00:00"/>
    <s v="CUST050"/>
    <s v="Aatish"/>
    <x v="0"/>
    <x v="1"/>
    <x v="2"/>
    <n v="5"/>
    <n v="218"/>
    <x v="371"/>
    <n v="2"/>
  </r>
  <r>
    <s v="ORD537"/>
    <d v="2024-06-15T00:00:00"/>
    <s v="CUST245"/>
    <s v="Abhinu"/>
    <x v="0"/>
    <x v="2"/>
    <x v="6"/>
    <n v="3"/>
    <n v="33"/>
    <x v="372"/>
    <n v="2"/>
  </r>
  <r>
    <s v="ORD538"/>
    <d v="2024-07-04T00:00:00"/>
    <s v="CUST193"/>
    <s v="Abheer"/>
    <x v="0"/>
    <x v="2"/>
    <x v="6"/>
    <n v="5"/>
    <n v="16"/>
    <x v="203"/>
    <n v="3"/>
  </r>
  <r>
    <s v="ORD539"/>
    <d v="2024-08-25T00:00:00"/>
    <s v="CUST074"/>
    <s v="Aatheesh"/>
    <x v="0"/>
    <x v="2"/>
    <x v="4"/>
    <n v="2"/>
    <n v="18"/>
    <x v="13"/>
    <n v="1"/>
  </r>
  <r>
    <s v="ORD540"/>
    <d v="2024-01-22T00:00:00"/>
    <s v="CUST128"/>
    <s v="Aabheer"/>
    <x v="0"/>
    <x v="0"/>
    <x v="1"/>
    <n v="1"/>
    <n v="335"/>
    <x v="373"/>
    <n v="4"/>
  </r>
  <r>
    <s v="ORD541"/>
    <d v="2024-01-12T00:00:00"/>
    <s v="CUST220"/>
    <s v="Abbudin"/>
    <x v="0"/>
    <x v="0"/>
    <x v="0"/>
    <n v="5"/>
    <n v="383"/>
    <x v="374"/>
    <n v="2"/>
  </r>
  <r>
    <s v="ORD542"/>
    <d v="2024-05-03T00:00:00"/>
    <s v="CUST480"/>
    <s v="Aadith"/>
    <x v="0"/>
    <x v="0"/>
    <x v="3"/>
    <n v="4"/>
    <n v="242"/>
    <x v="375"/>
    <n v="1"/>
  </r>
  <r>
    <s v="ORD543"/>
    <d v="2024-01-12T00:00:00"/>
    <s v="CUST180"/>
    <s v="Aadarko"/>
    <x v="0"/>
    <x v="0"/>
    <x v="1"/>
    <n v="5"/>
    <n v="455"/>
    <x v="376"/>
    <n v="1"/>
  </r>
  <r>
    <s v="ORD544"/>
    <d v="2024-07-23T00:00:00"/>
    <s v="CUST477"/>
    <s v="Aaruthran"/>
    <x v="1"/>
    <x v="0"/>
    <x v="1"/>
    <n v="3"/>
    <n v="478"/>
    <x v="377"/>
    <n v="1"/>
  </r>
  <r>
    <s v="ORD545"/>
    <d v="2024-01-04T00:00:00"/>
    <s v="CUST271"/>
    <s v="Abbas"/>
    <x v="1"/>
    <x v="0"/>
    <x v="3"/>
    <n v="2"/>
    <n v="278"/>
    <x v="378"/>
    <n v="2"/>
  </r>
  <r>
    <s v="ORD546"/>
    <d v="2024-04-20T00:00:00"/>
    <s v="CUST002"/>
    <s v="Aaish"/>
    <x v="0"/>
    <x v="1"/>
    <x v="8"/>
    <n v="2"/>
    <n v="123"/>
    <x v="379"/>
    <n v="1"/>
  </r>
  <r>
    <s v="ORD547"/>
    <d v="2024-05-04T00:00:00"/>
    <s v="CUST068"/>
    <s v="Aanick"/>
    <x v="0"/>
    <x v="1"/>
    <x v="2"/>
    <n v="1"/>
    <n v="210"/>
    <x v="131"/>
    <n v="5"/>
  </r>
  <r>
    <s v="ORD548"/>
    <d v="2024-06-10T00:00:00"/>
    <s v="CUST235"/>
    <s v="Abhilesh"/>
    <x v="0"/>
    <x v="1"/>
    <x v="5"/>
    <n v="4"/>
    <n v="267"/>
    <x v="380"/>
    <n v="2"/>
  </r>
  <r>
    <s v="ORD549"/>
    <d v="2024-01-25T00:00:00"/>
    <s v="CUST442"/>
    <s v="Aadhikeshavan"/>
    <x v="1"/>
    <x v="0"/>
    <x v="1"/>
    <n v="3"/>
    <n v="471"/>
    <x v="381"/>
    <n v="1"/>
  </r>
  <r>
    <s v="ORD550"/>
    <d v="2024-09-04T00:00:00"/>
    <s v="CUST390"/>
    <s v="Abhijath"/>
    <x v="0"/>
    <x v="2"/>
    <x v="4"/>
    <n v="2"/>
    <n v="35"/>
    <x v="47"/>
    <n v="2"/>
  </r>
  <r>
    <s v="ORD551"/>
    <d v="2024-03-22T00:00:00"/>
    <s v="CUST269"/>
    <s v="Aakashi"/>
    <x v="0"/>
    <x v="1"/>
    <x v="5"/>
    <n v="2"/>
    <n v="202"/>
    <x v="128"/>
    <n v="1"/>
  </r>
  <r>
    <s v="ORD552"/>
    <d v="2024-01-04T00:00:00"/>
    <s v="CUST445"/>
    <s v="Aashrut"/>
    <x v="1"/>
    <x v="0"/>
    <x v="3"/>
    <n v="5"/>
    <n v="254"/>
    <x v="382"/>
    <n v="1"/>
  </r>
  <r>
    <s v="ORD553"/>
    <d v="2024-03-26T00:00:00"/>
    <s v="CUST285"/>
    <s v="Abdullah"/>
    <x v="1"/>
    <x v="1"/>
    <x v="8"/>
    <n v="4"/>
    <n v="240"/>
    <x v="383"/>
    <n v="3"/>
  </r>
  <r>
    <s v="ORD554"/>
    <d v="2024-05-27T00:00:00"/>
    <s v="CUST261"/>
    <s v="Aakarshak"/>
    <x v="1"/>
    <x v="1"/>
    <x v="8"/>
    <n v="1"/>
    <n v="230"/>
    <x v="384"/>
    <n v="1"/>
  </r>
  <r>
    <s v="ORD555"/>
    <d v="2024-07-06T00:00:00"/>
    <s v="CUST404"/>
    <s v="Abhideep"/>
    <x v="1"/>
    <x v="2"/>
    <x v="7"/>
    <n v="3"/>
    <n v="32"/>
    <x v="34"/>
    <n v="2"/>
  </r>
  <r>
    <s v="ORD556"/>
    <d v="2024-07-27T00:00:00"/>
    <s v="CUST118"/>
    <s v="Abhiraam"/>
    <x v="0"/>
    <x v="1"/>
    <x v="8"/>
    <n v="5"/>
    <n v="194"/>
    <x v="385"/>
    <n v="2"/>
  </r>
  <r>
    <s v="ORD557"/>
    <d v="2024-08-22T00:00:00"/>
    <s v="CUST266"/>
    <s v="Aatheshan"/>
    <x v="0"/>
    <x v="2"/>
    <x v="4"/>
    <n v="1"/>
    <n v="28"/>
    <x v="360"/>
    <n v="1"/>
  </r>
  <r>
    <s v="ORD558"/>
    <d v="2024-05-01T00:00:00"/>
    <s v="CUST443"/>
    <s v="Abel"/>
    <x v="0"/>
    <x v="2"/>
    <x v="6"/>
    <n v="5"/>
    <n v="18"/>
    <x v="214"/>
    <n v="3"/>
  </r>
  <r>
    <s v="ORD559"/>
    <d v="2024-05-17T00:00:00"/>
    <s v="CUST177"/>
    <s v="Aathikeyan"/>
    <x v="1"/>
    <x v="1"/>
    <x v="2"/>
    <n v="5"/>
    <n v="232"/>
    <x v="386"/>
    <n v="3"/>
  </r>
  <r>
    <s v="ORD560"/>
    <d v="2024-04-25T00:00:00"/>
    <s v="CUST207"/>
    <s v="Aatreya"/>
    <x v="1"/>
    <x v="2"/>
    <x v="6"/>
    <n v="2"/>
    <n v="41"/>
    <x v="133"/>
    <n v="2"/>
  </r>
  <r>
    <s v="ORD561"/>
    <d v="2024-05-31T00:00:00"/>
    <s v="CUST300"/>
    <s v="Aadavan"/>
    <x v="0"/>
    <x v="0"/>
    <x v="3"/>
    <n v="4"/>
    <n v="315"/>
    <x v="216"/>
    <n v="1"/>
  </r>
  <r>
    <s v="ORD562"/>
    <d v="2024-04-24T00:00:00"/>
    <s v="CUST087"/>
    <s v="Abhaidev"/>
    <x v="1"/>
    <x v="2"/>
    <x v="7"/>
    <n v="3"/>
    <n v="14"/>
    <x v="190"/>
    <n v="2"/>
  </r>
  <r>
    <s v="ORD563"/>
    <d v="2024-07-15T00:00:00"/>
    <s v="CUST122"/>
    <s v="Aathan"/>
    <x v="0"/>
    <x v="2"/>
    <x v="6"/>
    <n v="5"/>
    <n v="40"/>
    <x v="387"/>
    <n v="1"/>
  </r>
  <r>
    <s v="ORD564"/>
    <d v="2024-07-28T00:00:00"/>
    <s v="CUST009"/>
    <s v="Abedin"/>
    <x v="1"/>
    <x v="2"/>
    <x v="4"/>
    <n v="4"/>
    <n v="26"/>
    <x v="69"/>
    <n v="3"/>
  </r>
  <r>
    <s v="ORD565"/>
    <d v="2024-05-18T00:00:00"/>
    <s v="CUST206"/>
    <s v="Aabheer"/>
    <x v="0"/>
    <x v="1"/>
    <x v="8"/>
    <n v="5"/>
    <n v="172"/>
    <x v="388"/>
    <n v="2"/>
  </r>
  <r>
    <s v="ORD566"/>
    <d v="2024-05-10T00:00:00"/>
    <s v="CUST294"/>
    <s v="Arpit"/>
    <x v="0"/>
    <x v="1"/>
    <x v="8"/>
    <n v="1"/>
    <n v="229"/>
    <x v="389"/>
    <n v="1"/>
  </r>
  <r>
    <s v="ORD567"/>
    <d v="2024-01-20T00:00:00"/>
    <s v="CUST188"/>
    <s v="Aashay"/>
    <x v="1"/>
    <x v="2"/>
    <x v="4"/>
    <n v="1"/>
    <n v="42"/>
    <x v="190"/>
    <n v="4"/>
  </r>
  <r>
    <s v="ORD568"/>
    <d v="2024-01-01T00:00:00"/>
    <s v="CUST193"/>
    <s v="Aaruthra"/>
    <x v="0"/>
    <x v="2"/>
    <x v="6"/>
    <n v="2"/>
    <n v="30"/>
    <x v="79"/>
    <n v="2"/>
  </r>
  <r>
    <s v="ORD569"/>
    <d v="2024-03-19T00:00:00"/>
    <s v="CUST088"/>
    <s v="Aahlaad"/>
    <x v="1"/>
    <x v="1"/>
    <x v="8"/>
    <n v="3"/>
    <n v="182"/>
    <x v="390"/>
    <n v="2"/>
  </r>
  <r>
    <s v="ORD570"/>
    <d v="2024-03-26T00:00:00"/>
    <s v="CUST128"/>
    <s v="Abeer"/>
    <x v="0"/>
    <x v="1"/>
    <x v="2"/>
    <n v="2"/>
    <n v="191"/>
    <x v="391"/>
    <n v="3"/>
  </r>
  <r>
    <s v="ORD571"/>
    <d v="2024-01-30T00:00:00"/>
    <s v="CUST297"/>
    <s v="Abayan"/>
    <x v="1"/>
    <x v="1"/>
    <x v="8"/>
    <n v="2"/>
    <n v="166"/>
    <x v="361"/>
    <n v="2"/>
  </r>
  <r>
    <s v="ORD572"/>
    <d v="2024-01-08T00:00:00"/>
    <s v="CUST118"/>
    <s v="Abdus Shafi"/>
    <x v="0"/>
    <x v="1"/>
    <x v="8"/>
    <n v="5"/>
    <n v="162"/>
    <x v="392"/>
    <n v="1"/>
  </r>
  <r>
    <s v="ORD573"/>
    <d v="2024-02-25T00:00:00"/>
    <s v="CUST066"/>
    <s v="Aathees"/>
    <x v="0"/>
    <x v="2"/>
    <x v="6"/>
    <n v="2"/>
    <n v="39"/>
    <x v="393"/>
    <n v="2"/>
  </r>
  <r>
    <s v="ORD574"/>
    <d v="2024-03-22T00:00:00"/>
    <s v="CUST089"/>
    <s v="Aadhiban"/>
    <x v="1"/>
    <x v="0"/>
    <x v="0"/>
    <n v="2"/>
    <n v="430"/>
    <x v="388"/>
    <n v="1"/>
  </r>
  <r>
    <s v="ORD575"/>
    <d v="2024-01-22T00:00:00"/>
    <s v="CUST105"/>
    <s v="Abhinandan"/>
    <x v="1"/>
    <x v="1"/>
    <x v="8"/>
    <n v="5"/>
    <n v="292"/>
    <x v="394"/>
    <n v="1"/>
  </r>
  <r>
    <s v="ORD576"/>
    <d v="2024-02-20T00:00:00"/>
    <s v="CUST009"/>
    <s v="Abhranila"/>
    <x v="0"/>
    <x v="2"/>
    <x v="7"/>
    <n v="5"/>
    <n v="17"/>
    <x v="395"/>
    <n v="2"/>
  </r>
  <r>
    <s v="ORD577"/>
    <d v="2024-04-20T00:00:00"/>
    <s v="CUST355"/>
    <s v="Aabher"/>
    <x v="0"/>
    <x v="0"/>
    <x v="1"/>
    <n v="1"/>
    <n v="371"/>
    <x v="396"/>
    <n v="1"/>
  </r>
  <r>
    <s v="ORD578"/>
    <d v="2024-04-25T00:00:00"/>
    <s v="CUST001"/>
    <s v="Aafiya"/>
    <x v="1"/>
    <x v="1"/>
    <x v="8"/>
    <n v="3"/>
    <n v="213"/>
    <x v="397"/>
    <n v="2"/>
  </r>
  <r>
    <s v="ORD579"/>
    <d v="2024-04-10T00:00:00"/>
    <s v="CUST178"/>
    <s v="Abhijaya"/>
    <x v="0"/>
    <x v="1"/>
    <x v="8"/>
    <n v="5"/>
    <n v="289"/>
    <x v="398"/>
    <n v="1"/>
  </r>
  <r>
    <s v="ORD580"/>
    <d v="2024-06-17T00:00:00"/>
    <s v="CUST400"/>
    <s v="Abhypsit"/>
    <x v="0"/>
    <x v="1"/>
    <x v="2"/>
    <n v="1"/>
    <n v="155"/>
    <x v="202"/>
    <n v="3"/>
  </r>
  <r>
    <s v="ORD581"/>
    <d v="2024-05-05T00:00:00"/>
    <s v="CUST373"/>
    <s v="Aakarshan"/>
    <x v="0"/>
    <x v="0"/>
    <x v="3"/>
    <n v="4"/>
    <n v="253"/>
    <x v="295"/>
    <n v="1"/>
  </r>
  <r>
    <s v="ORD582"/>
    <d v="2024-07-26T00:00:00"/>
    <s v="CUST399"/>
    <s v="Aadhithiya"/>
    <x v="0"/>
    <x v="0"/>
    <x v="1"/>
    <n v="5"/>
    <n v="380"/>
    <x v="399"/>
    <n v="1"/>
  </r>
  <r>
    <s v="ORD583"/>
    <d v="2024-04-05T00:00:00"/>
    <s v="CUST060"/>
    <s v="Aafreen"/>
    <x v="0"/>
    <x v="0"/>
    <x v="3"/>
    <n v="3"/>
    <n v="202"/>
    <x v="400"/>
    <n v="2"/>
  </r>
  <r>
    <s v="ORD584"/>
    <d v="2024-04-01T00:00:00"/>
    <s v="CUST320"/>
    <s v="Aavansh"/>
    <x v="1"/>
    <x v="2"/>
    <x v="6"/>
    <n v="3"/>
    <n v="17"/>
    <x v="193"/>
    <n v="3"/>
  </r>
  <r>
    <s v="ORD585"/>
    <d v="2024-05-30T00:00:00"/>
    <s v="CUST420"/>
    <s v="Aashish"/>
    <x v="1"/>
    <x v="2"/>
    <x v="6"/>
    <n v="2"/>
    <n v="35"/>
    <x v="47"/>
    <n v="1"/>
  </r>
  <r>
    <s v="ORD586"/>
    <d v="2024-02-12T00:00:00"/>
    <s v="CUST100"/>
    <s v="Aalan"/>
    <x v="1"/>
    <x v="1"/>
    <x v="2"/>
    <n v="5"/>
    <n v="171"/>
    <x v="401"/>
    <n v="2"/>
  </r>
  <r>
    <s v="ORD587"/>
    <d v="2024-03-30T00:00:00"/>
    <s v="CUST497"/>
    <s v="Abdus Shakur"/>
    <x v="0"/>
    <x v="1"/>
    <x v="5"/>
    <n v="5"/>
    <n v="127"/>
    <x v="402"/>
    <n v="1"/>
  </r>
  <r>
    <s v="ORD588"/>
    <d v="2024-05-13T00:00:00"/>
    <s v="CUST351"/>
    <s v="Abhishekita"/>
    <x v="1"/>
    <x v="2"/>
    <x v="4"/>
    <n v="1"/>
    <n v="38"/>
    <x v="403"/>
    <n v="1"/>
  </r>
  <r>
    <s v="ORD589"/>
    <d v="2024-04-10T00:00:00"/>
    <s v="CUST467"/>
    <s v="Anjaneya"/>
    <x v="1"/>
    <x v="2"/>
    <x v="6"/>
    <n v="1"/>
    <n v="22"/>
    <x v="404"/>
    <n v="2"/>
  </r>
  <r>
    <s v="ORD590"/>
    <d v="2024-06-11T00:00:00"/>
    <s v="CUST342"/>
    <s v="Aamirah"/>
    <x v="0"/>
    <x v="0"/>
    <x v="0"/>
    <n v="4"/>
    <n v="286"/>
    <x v="405"/>
    <n v="1"/>
  </r>
  <r>
    <s v="ORD591"/>
    <d v="2024-06-02T00:00:00"/>
    <s v="CUST299"/>
    <s v="Aaveg"/>
    <x v="0"/>
    <x v="2"/>
    <x v="6"/>
    <n v="1"/>
    <n v="34"/>
    <x v="226"/>
    <n v="1"/>
  </r>
  <r>
    <s v="ORD592"/>
    <d v="2024-01-21T00:00:00"/>
    <s v="CUST067"/>
    <s v="Aayudh"/>
    <x v="0"/>
    <x v="1"/>
    <x v="5"/>
    <n v="4"/>
    <n v="121"/>
    <x v="115"/>
    <n v="3"/>
  </r>
  <r>
    <s v="ORD593"/>
    <d v="2024-01-30T00:00:00"/>
    <s v="CUST456"/>
    <s v="Aathavan"/>
    <x v="0"/>
    <x v="1"/>
    <x v="2"/>
    <n v="1"/>
    <n v="255"/>
    <x v="255"/>
    <n v="2"/>
  </r>
  <r>
    <s v="ORD594"/>
    <d v="2024-05-13T00:00:00"/>
    <s v="CUST225"/>
    <s v="Aapt"/>
    <x v="1"/>
    <x v="2"/>
    <x v="6"/>
    <n v="3"/>
    <n v="41"/>
    <x v="406"/>
    <n v="1"/>
  </r>
  <r>
    <s v="ORD595"/>
    <d v="2024-03-09T00:00:00"/>
    <s v="CUST194"/>
    <s v="Aakarsh"/>
    <x v="0"/>
    <x v="0"/>
    <x v="3"/>
    <n v="2"/>
    <n v="407"/>
    <x v="407"/>
    <n v="2"/>
  </r>
  <r>
    <s v="ORD596"/>
    <d v="2024-06-17T00:00:00"/>
    <s v="CUST179"/>
    <s v="Abdus Shahid"/>
    <x v="0"/>
    <x v="1"/>
    <x v="5"/>
    <n v="3"/>
    <n v="178"/>
    <x v="199"/>
    <n v="1"/>
  </r>
  <r>
    <s v="ORD597"/>
    <d v="2024-08-16T00:00:00"/>
    <s v="CUST006"/>
    <s v="Aakesh"/>
    <x v="0"/>
    <x v="2"/>
    <x v="7"/>
    <n v="2"/>
    <n v="18"/>
    <x v="13"/>
    <n v="2"/>
  </r>
  <r>
    <s v="ORD598"/>
    <d v="2024-09-02T00:00:00"/>
    <s v="CUST035"/>
    <s v="Aarksh"/>
    <x v="0"/>
    <x v="1"/>
    <x v="8"/>
    <n v="2"/>
    <n v="268"/>
    <x v="1"/>
    <n v="1"/>
  </r>
  <r>
    <s v="ORD599"/>
    <d v="2024-02-20T00:00:00"/>
    <s v="CUST315"/>
    <s v="Aagneya"/>
    <x v="1"/>
    <x v="0"/>
    <x v="3"/>
    <n v="1"/>
    <n v="314"/>
    <x v="408"/>
    <n v="2"/>
  </r>
  <r>
    <s v="ORD600"/>
    <d v="2024-04-21T00:00:00"/>
    <s v="CUST427"/>
    <s v="Ahan"/>
    <x v="0"/>
    <x v="1"/>
    <x v="2"/>
    <n v="5"/>
    <n v="170"/>
    <x v="366"/>
    <n v="1"/>
  </r>
  <r>
    <s v="ORD601"/>
    <d v="2024-06-05T00:00:00"/>
    <s v="CUST385"/>
    <s v="Aadhar"/>
    <x v="1"/>
    <x v="2"/>
    <x v="6"/>
    <n v="4"/>
    <n v="47"/>
    <x v="261"/>
    <n v="2"/>
  </r>
  <r>
    <s v="ORD602"/>
    <d v="2024-03-03T00:00:00"/>
    <s v="CUST082"/>
    <s v="Aahanyan"/>
    <x v="0"/>
    <x v="0"/>
    <x v="1"/>
    <n v="2"/>
    <n v="229"/>
    <x v="409"/>
    <n v="3"/>
  </r>
  <r>
    <s v="ORD603"/>
    <d v="2024-05-09T00:00:00"/>
    <s v="CUST298"/>
    <s v="Abheesht"/>
    <x v="1"/>
    <x v="1"/>
    <x v="5"/>
    <n v="3"/>
    <n v="293"/>
    <x v="410"/>
    <n v="2"/>
  </r>
  <r>
    <s v="ORD604"/>
    <d v="2024-07-02T00:00:00"/>
    <s v="CUST138"/>
    <s v="Aathithyan"/>
    <x v="0"/>
    <x v="2"/>
    <x v="7"/>
    <n v="3"/>
    <n v="50"/>
    <x v="303"/>
    <n v="4"/>
  </r>
  <r>
    <s v="ORD605"/>
    <d v="2024-08-27T00:00:00"/>
    <s v="CUST173"/>
    <s v="Aahlad"/>
    <x v="0"/>
    <x v="0"/>
    <x v="1"/>
    <n v="1"/>
    <n v="465"/>
    <x v="240"/>
    <n v="1"/>
  </r>
  <r>
    <s v="ORD606"/>
    <d v="2024-03-17T00:00:00"/>
    <s v="CUST375"/>
    <s v="Aayus"/>
    <x v="1"/>
    <x v="0"/>
    <x v="0"/>
    <n v="3"/>
    <n v="359"/>
    <x v="411"/>
    <n v="2"/>
  </r>
  <r>
    <s v="ORD607"/>
    <d v="2024-02-28T00:00:00"/>
    <s v="CUST253"/>
    <s v="Aaish"/>
    <x v="0"/>
    <x v="0"/>
    <x v="0"/>
    <n v="2"/>
    <n v="237"/>
    <x v="412"/>
    <n v="3"/>
  </r>
  <r>
    <s v="ORD608"/>
    <d v="2024-07-06T00:00:00"/>
    <s v="CUST039"/>
    <s v="Aahnik"/>
    <x v="0"/>
    <x v="0"/>
    <x v="3"/>
    <n v="1"/>
    <n v="461"/>
    <x v="413"/>
    <n v="2"/>
  </r>
  <r>
    <s v="ORD609"/>
    <d v="2024-03-21T00:00:00"/>
    <s v="CUST466"/>
    <s v="Abhisheik"/>
    <x v="0"/>
    <x v="2"/>
    <x v="6"/>
    <n v="2"/>
    <n v="33"/>
    <x v="246"/>
    <n v="3"/>
  </r>
  <r>
    <s v="ORD610"/>
    <d v="2024-05-01T00:00:00"/>
    <s v="CUST434"/>
    <s v="Aaryesh"/>
    <x v="1"/>
    <x v="2"/>
    <x v="4"/>
    <n v="5"/>
    <n v="42"/>
    <x v="131"/>
    <n v="2"/>
  </r>
  <r>
    <s v="ORD611"/>
    <d v="2024-03-01T00:00:00"/>
    <s v="CUST170"/>
    <s v="Aaruthra"/>
    <x v="1"/>
    <x v="1"/>
    <x v="2"/>
    <n v="2"/>
    <n v="189"/>
    <x v="414"/>
    <n v="2"/>
  </r>
  <r>
    <s v="ORD612"/>
    <d v="2024-03-24T00:00:00"/>
    <s v="CUST004"/>
    <s v="Araadhak"/>
    <x v="1"/>
    <x v="2"/>
    <x v="7"/>
    <n v="4"/>
    <n v="43"/>
    <x v="415"/>
    <n v="2"/>
  </r>
  <r>
    <s v="ORD613"/>
    <d v="2024-03-17T00:00:00"/>
    <s v="CUST338"/>
    <s v="Aadhithiya"/>
    <x v="1"/>
    <x v="1"/>
    <x v="8"/>
    <n v="2"/>
    <n v="252"/>
    <x v="416"/>
    <n v="3"/>
  </r>
  <r>
    <s v="ORD614"/>
    <d v="2024-07-08T00:00:00"/>
    <s v="CUST401"/>
    <s v="Aafiya"/>
    <x v="1"/>
    <x v="1"/>
    <x v="2"/>
    <n v="2"/>
    <n v="143"/>
    <x v="417"/>
    <n v="2"/>
  </r>
  <r>
    <s v="ORD615"/>
    <d v="2024-05-21T00:00:00"/>
    <s v="CUST469"/>
    <s v="Abhivira"/>
    <x v="1"/>
    <x v="2"/>
    <x v="6"/>
    <n v="3"/>
    <n v="36"/>
    <x v="96"/>
    <n v="1"/>
  </r>
  <r>
    <s v="ORD616"/>
    <d v="2024-03-15T00:00:00"/>
    <s v="CUST494"/>
    <s v="Aashrith"/>
    <x v="0"/>
    <x v="1"/>
    <x v="5"/>
    <n v="5"/>
    <n v="148"/>
    <x v="319"/>
    <n v="2"/>
  </r>
  <r>
    <s v="ORD617"/>
    <d v="2024-04-27T00:00:00"/>
    <s v="CUST183"/>
    <s v="Aarav"/>
    <x v="1"/>
    <x v="0"/>
    <x v="3"/>
    <n v="4"/>
    <n v="318"/>
    <x v="418"/>
    <n v="1"/>
  </r>
  <r>
    <s v="ORD618"/>
    <d v="2024-01-18T00:00:00"/>
    <s v="CUST138"/>
    <s v="Aadarshanan"/>
    <x v="1"/>
    <x v="0"/>
    <x v="1"/>
    <n v="1"/>
    <n v="342"/>
    <x v="419"/>
    <n v="3"/>
  </r>
  <r>
    <s v="ORD619"/>
    <d v="2024-04-29T00:00:00"/>
    <e v="#REF!"/>
    <s v="Abijith"/>
    <x v="0"/>
    <x v="2"/>
    <x v="4"/>
    <n v="1"/>
    <n v="44"/>
    <x v="83"/>
    <n v="1"/>
  </r>
  <r>
    <s v="ORD620"/>
    <d v="2024-01-11T00:00:00"/>
    <s v="CUST056"/>
    <s v="Abhayam"/>
    <x v="0"/>
    <x v="0"/>
    <x v="3"/>
    <n v="1"/>
    <n v="222"/>
    <x v="420"/>
    <n v="1"/>
  </r>
  <r>
    <s v="ORD621"/>
    <d v="2024-03-03T00:00:00"/>
    <s v="CUST021"/>
    <s v="Abheer"/>
    <x v="1"/>
    <x v="2"/>
    <x v="4"/>
    <n v="5"/>
    <n v="34"/>
    <x v="421"/>
    <n v="1"/>
  </r>
  <r>
    <s v="ORD622"/>
    <d v="2024-01-21T00:00:00"/>
    <s v="CUST438"/>
    <s v="Aathikan"/>
    <x v="1"/>
    <x v="0"/>
    <x v="0"/>
    <n v="5"/>
    <n v="316"/>
    <x v="422"/>
    <n v="1"/>
  </r>
  <r>
    <s v="ORD623"/>
    <d v="2024-09-10T00:00:00"/>
    <s v="CUST095"/>
    <s v="Aahva"/>
    <x v="1"/>
    <x v="2"/>
    <x v="4"/>
    <n v="5"/>
    <n v="22"/>
    <x v="143"/>
    <n v="1"/>
  </r>
  <r>
    <s v="ORD624"/>
    <d v="2024-07-20T00:00:00"/>
    <s v="CUST265"/>
    <s v="Abdus Sattar"/>
    <x v="0"/>
    <x v="2"/>
    <x v="6"/>
    <n v="5"/>
    <n v="42"/>
    <x v="131"/>
    <n v="1"/>
  </r>
  <r>
    <s v="ORD625"/>
    <d v="2024-04-20T00:00:00"/>
    <s v="CUST400"/>
    <s v="Aaranen"/>
    <x v="1"/>
    <x v="2"/>
    <x v="6"/>
    <n v="1"/>
    <n v="24"/>
    <x v="84"/>
    <n v="2"/>
  </r>
  <r>
    <s v="ORD626"/>
    <d v="2024-08-07T00:00:00"/>
    <s v="CUST303"/>
    <s v="Aapu"/>
    <x v="0"/>
    <x v="0"/>
    <x v="0"/>
    <n v="1"/>
    <n v="203"/>
    <x v="423"/>
    <n v="2"/>
  </r>
  <r>
    <s v="ORD627"/>
    <d v="2024-09-21T00:00:00"/>
    <s v="CUST499"/>
    <s v="Aadarsh"/>
    <x v="1"/>
    <x v="0"/>
    <x v="0"/>
    <n v="1"/>
    <n v="287"/>
    <x v="424"/>
    <n v="1"/>
  </r>
  <r>
    <s v="ORD628"/>
    <d v="2024-05-28T00:00:00"/>
    <s v="CUST314"/>
    <s v="Asheesh"/>
    <x v="0"/>
    <x v="0"/>
    <x v="1"/>
    <n v="3"/>
    <n v="464"/>
    <x v="150"/>
    <n v="1"/>
  </r>
  <r>
    <s v="ORD629"/>
    <d v="2024-02-13T00:00:00"/>
    <s v="CUST405"/>
    <s v="Abayan"/>
    <x v="1"/>
    <x v="0"/>
    <x v="3"/>
    <n v="4"/>
    <n v="251"/>
    <x v="270"/>
    <n v="1"/>
  </r>
  <r>
    <s v="ORD630"/>
    <d v="2024-08-26T00:00:00"/>
    <s v="CUST474"/>
    <s v="Aarpit"/>
    <x v="1"/>
    <x v="1"/>
    <x v="8"/>
    <n v="3"/>
    <n v="277"/>
    <x v="425"/>
    <n v="1"/>
  </r>
  <r>
    <s v="ORD631"/>
    <d v="2024-01-21T00:00:00"/>
    <s v="CUST115"/>
    <s v="Aaron"/>
    <x v="0"/>
    <x v="1"/>
    <x v="8"/>
    <n v="2"/>
    <n v="133"/>
    <x v="211"/>
    <n v="2"/>
  </r>
  <r>
    <s v="ORD632"/>
    <d v="2024-09-27T00:00:00"/>
    <s v="CUST313"/>
    <s v="Aamir"/>
    <x v="0"/>
    <x v="1"/>
    <x v="5"/>
    <n v="1"/>
    <n v="133"/>
    <x v="426"/>
    <n v="3"/>
  </r>
  <r>
    <s v="ORD633"/>
    <d v="2024-05-31T00:00:00"/>
    <s v="CUST349"/>
    <s v="Abedin"/>
    <x v="0"/>
    <x v="0"/>
    <x v="3"/>
    <n v="3"/>
    <n v="462"/>
    <x v="427"/>
    <n v="2"/>
  </r>
  <r>
    <s v="ORD634"/>
    <d v="2024-01-06T00:00:00"/>
    <s v="CUST008"/>
    <s v="Abhav"/>
    <x v="1"/>
    <x v="2"/>
    <x v="6"/>
    <n v="5"/>
    <n v="26"/>
    <x v="73"/>
    <n v="2"/>
  </r>
  <r>
    <s v="ORD635"/>
    <d v="2024-09-02T00:00:00"/>
    <s v="CUST127"/>
    <s v="Aftab"/>
    <x v="0"/>
    <x v="2"/>
    <x v="4"/>
    <n v="4"/>
    <n v="26"/>
    <x v="69"/>
    <n v="1"/>
  </r>
  <r>
    <s v="ORD636"/>
    <d v="2024-02-23T00:00:00"/>
    <s v="CUST439"/>
    <s v="Abjit"/>
    <x v="0"/>
    <x v="1"/>
    <x v="5"/>
    <n v="1"/>
    <n v="271"/>
    <x v="207"/>
    <n v="2"/>
  </r>
  <r>
    <s v="ORD637"/>
    <d v="2024-01-31T00:00:00"/>
    <s v="CUST050"/>
    <s v="Aayushmaan"/>
    <x v="1"/>
    <x v="0"/>
    <x v="0"/>
    <n v="1"/>
    <n v="228"/>
    <x v="428"/>
    <n v="1"/>
  </r>
  <r>
    <s v="ORD638"/>
    <d v="2024-08-12T00:00:00"/>
    <s v="CUST439"/>
    <s v="Aavish"/>
    <x v="1"/>
    <x v="1"/>
    <x v="8"/>
    <n v="5"/>
    <n v="244"/>
    <x v="333"/>
    <n v="1"/>
  </r>
  <r>
    <s v="ORD639"/>
    <d v="2024-01-20T00:00:00"/>
    <s v="CUST470"/>
    <s v="Abdus Samad"/>
    <x v="0"/>
    <x v="2"/>
    <x v="7"/>
    <n v="5"/>
    <n v="36"/>
    <x v="257"/>
    <n v="2"/>
  </r>
  <r>
    <s v="ORD640"/>
    <d v="2024-07-05T00:00:00"/>
    <s v="CUST308"/>
    <s v="Aahva"/>
    <x v="1"/>
    <x v="1"/>
    <x v="2"/>
    <n v="1"/>
    <n v="246"/>
    <x v="379"/>
    <n v="2"/>
  </r>
  <r>
    <s v="ORD641"/>
    <d v="2024-07-26T00:00:00"/>
    <s v="CUST104"/>
    <s v="Aartheepan"/>
    <x v="0"/>
    <x v="2"/>
    <x v="4"/>
    <n v="3"/>
    <n v="44"/>
    <x v="271"/>
    <n v="1"/>
  </r>
  <r>
    <s v="ORD642"/>
    <d v="2024-07-26T00:00:00"/>
    <s v="CUST455"/>
    <s v="Aartheepan"/>
    <x v="1"/>
    <x v="2"/>
    <x v="4"/>
    <n v="4"/>
    <n v="47"/>
    <x v="261"/>
    <n v="2"/>
  </r>
  <r>
    <s v="ORD643"/>
    <d v="2024-07-28T00:00:00"/>
    <s v="CUST043"/>
    <s v="Aatman"/>
    <x v="0"/>
    <x v="0"/>
    <x v="1"/>
    <n v="5"/>
    <n v="201"/>
    <x v="429"/>
    <n v="1"/>
  </r>
  <r>
    <s v="ORD644"/>
    <d v="2024-02-29T00:00:00"/>
    <s v="CUST169"/>
    <s v="Aakar"/>
    <x v="1"/>
    <x v="0"/>
    <x v="0"/>
    <n v="2"/>
    <n v="393"/>
    <x v="430"/>
    <n v="2"/>
  </r>
  <r>
    <s v="ORD645"/>
    <d v="2024-02-05T00:00:00"/>
    <s v="CUST151"/>
    <s v="Aaban"/>
    <x v="0"/>
    <x v="0"/>
    <x v="3"/>
    <n v="2"/>
    <n v="209"/>
    <x v="431"/>
    <n v="1"/>
  </r>
  <r>
    <s v="ORD646"/>
    <d v="2024-04-09T00:00:00"/>
    <s v="CUST144"/>
    <s v="Abhirup"/>
    <x v="0"/>
    <x v="0"/>
    <x v="1"/>
    <n v="3"/>
    <n v="233"/>
    <x v="322"/>
    <n v="3"/>
  </r>
  <r>
    <s v="ORD647"/>
    <d v="2024-04-28T00:00:00"/>
    <s v="CUST102"/>
    <s v="Abhyank"/>
    <x v="0"/>
    <x v="1"/>
    <x v="8"/>
    <n v="5"/>
    <n v="212"/>
    <x v="85"/>
    <n v="1"/>
  </r>
  <r>
    <s v="ORD648"/>
    <d v="2024-09-19T00:00:00"/>
    <s v="CUST042"/>
    <s v="Aadvik"/>
    <x v="0"/>
    <x v="2"/>
    <x v="6"/>
    <n v="1"/>
    <n v="37"/>
    <x v="362"/>
    <n v="1"/>
  </r>
  <r>
    <s v="ORD649"/>
    <d v="2024-07-12T00:00:00"/>
    <s v="CUST310"/>
    <s v="Aarujan"/>
    <x v="0"/>
    <x v="2"/>
    <x v="6"/>
    <n v="5"/>
    <n v="23"/>
    <x v="45"/>
    <n v="1"/>
  </r>
  <r>
    <s v="ORD650"/>
    <d v="2024-08-04T00:00:00"/>
    <s v="CUST081"/>
    <s v="Abhoy"/>
    <x v="1"/>
    <x v="0"/>
    <x v="3"/>
    <n v="3"/>
    <n v="282"/>
    <x v="432"/>
    <n v="1"/>
  </r>
  <r>
    <s v="ORD651"/>
    <d v="2024-08-11T00:00:00"/>
    <s v="CUST190"/>
    <s v="Abdus Sattar"/>
    <x v="1"/>
    <x v="2"/>
    <x v="7"/>
    <n v="3"/>
    <n v="31"/>
    <x v="433"/>
    <n v="1"/>
  </r>
  <r>
    <s v="ORD652"/>
    <d v="2024-05-22T00:00:00"/>
    <s v="CUST258"/>
    <s v="Aanandaswarup"/>
    <x v="0"/>
    <x v="2"/>
    <x v="4"/>
    <n v="1"/>
    <n v="47"/>
    <x v="434"/>
    <n v="1"/>
  </r>
  <r>
    <s v="ORD653"/>
    <d v="2024-01-06T00:00:00"/>
    <s v="CUST125"/>
    <s v="Aacharya"/>
    <x v="1"/>
    <x v="1"/>
    <x v="2"/>
    <n v="4"/>
    <n v="145"/>
    <x v="163"/>
    <n v="1"/>
  </r>
  <r>
    <s v="ORD654"/>
    <d v="2024-09-01T00:00:00"/>
    <s v="CUST177"/>
    <s v="Abhivanth"/>
    <x v="0"/>
    <x v="2"/>
    <x v="6"/>
    <n v="5"/>
    <n v="18"/>
    <x v="214"/>
    <n v="2"/>
  </r>
  <r>
    <s v="ORD655"/>
    <d v="2024-02-13T00:00:00"/>
    <s v="CUST437"/>
    <s v="Abdus Salaam"/>
    <x v="0"/>
    <x v="1"/>
    <x v="5"/>
    <n v="5"/>
    <n v="272"/>
    <x v="435"/>
    <n v="2"/>
  </r>
  <r>
    <s v="ORD656"/>
    <d v="2024-05-11T00:00:00"/>
    <s v="CUST242"/>
    <s v="Aaveg"/>
    <x v="1"/>
    <x v="0"/>
    <x v="1"/>
    <n v="2"/>
    <n v="442"/>
    <x v="325"/>
    <n v="3"/>
  </r>
  <r>
    <s v="ORD657"/>
    <d v="2024-01-23T00:00:00"/>
    <s v="CUST067"/>
    <s v="Aahlaad"/>
    <x v="1"/>
    <x v="2"/>
    <x v="6"/>
    <n v="1"/>
    <n v="34"/>
    <x v="226"/>
    <n v="2"/>
  </r>
  <r>
    <s v="ORD658"/>
    <d v="2024-06-13T00:00:00"/>
    <s v="CUST182"/>
    <s v="Abhivaadan"/>
    <x v="0"/>
    <x v="0"/>
    <x v="3"/>
    <n v="2"/>
    <n v="488"/>
    <x v="80"/>
    <n v="2"/>
  </r>
  <r>
    <s v="ORD659"/>
    <d v="2024-07-27T00:00:00"/>
    <s v="CUST186"/>
    <s v="Aaditva"/>
    <x v="1"/>
    <x v="0"/>
    <x v="1"/>
    <n v="4"/>
    <n v="403"/>
    <x v="436"/>
    <n v="1"/>
  </r>
  <r>
    <s v="ORD660"/>
    <d v="2024-06-29T00:00:00"/>
    <s v="CUST207"/>
    <s v="Abadhya"/>
    <x v="1"/>
    <x v="1"/>
    <x v="8"/>
    <n v="3"/>
    <n v="170"/>
    <x v="437"/>
    <n v="1"/>
  </r>
  <r>
    <s v="ORD661"/>
    <d v="2024-08-05T00:00:00"/>
    <s v="CUST191"/>
    <s v="Aadhiyannal"/>
    <x v="1"/>
    <x v="2"/>
    <x v="7"/>
    <n v="1"/>
    <n v="28"/>
    <x v="360"/>
    <n v="1"/>
  </r>
  <r>
    <s v="ORD662"/>
    <d v="2024-07-07T00:00:00"/>
    <s v="CUST336"/>
    <s v="Aaditeya"/>
    <x v="0"/>
    <x v="0"/>
    <x v="3"/>
    <n v="3"/>
    <n v="287"/>
    <x v="307"/>
    <n v="2"/>
  </r>
  <r>
    <s v="ORD663"/>
    <d v="2024-04-26T00:00:00"/>
    <s v="CUST156"/>
    <s v="Abharajithan"/>
    <x v="1"/>
    <x v="1"/>
    <x v="2"/>
    <n v="2"/>
    <n v="143"/>
    <x v="417"/>
    <n v="1"/>
  </r>
  <r>
    <s v="ORD664"/>
    <d v="2024-06-29T00:00:00"/>
    <s v="CUST325"/>
    <s v="Abinish"/>
    <x v="0"/>
    <x v="0"/>
    <x v="1"/>
    <n v="5"/>
    <n v="298"/>
    <x v="438"/>
    <n v="1"/>
  </r>
  <r>
    <s v="ORD665"/>
    <d v="2024-01-07T00:00:00"/>
    <s v="CUST462"/>
    <s v="Abinay"/>
    <x v="0"/>
    <x v="0"/>
    <x v="1"/>
    <n v="5"/>
    <n v="497"/>
    <x v="439"/>
    <n v="4"/>
  </r>
  <r>
    <s v="ORD666"/>
    <d v="2024-04-05T00:00:00"/>
    <s v="CUST038"/>
    <s v="Aadavan"/>
    <x v="1"/>
    <x v="2"/>
    <x v="4"/>
    <n v="4"/>
    <n v="49"/>
    <x v="21"/>
    <n v="2"/>
  </r>
  <r>
    <s v="ORD667"/>
    <d v="2024-07-15T00:00:00"/>
    <s v="CUST409"/>
    <s v="Abhijaya"/>
    <x v="1"/>
    <x v="2"/>
    <x v="7"/>
    <n v="5"/>
    <n v="39"/>
    <x v="440"/>
    <n v="1"/>
  </r>
  <r>
    <s v="ORD668"/>
    <d v="2024-06-13T00:00:00"/>
    <s v="CUST345"/>
    <s v="Abdus Sameei"/>
    <x v="1"/>
    <x v="2"/>
    <x v="6"/>
    <n v="5"/>
    <n v="40"/>
    <x v="387"/>
    <n v="1"/>
  </r>
  <r>
    <s v="ORD669"/>
    <d v="2024-08-29T00:00:00"/>
    <s v="CUST425"/>
    <s v="Aanush"/>
    <x v="1"/>
    <x v="2"/>
    <x v="7"/>
    <n v="5"/>
    <n v="30"/>
    <x v="303"/>
    <n v="3"/>
  </r>
  <r>
    <s v="ORD670"/>
    <d v="2024-01-12T00:00:00"/>
    <s v="CUST332"/>
    <s v="Aathees"/>
    <x v="0"/>
    <x v="1"/>
    <x v="5"/>
    <n v="5"/>
    <n v="212"/>
    <x v="85"/>
    <n v="2"/>
  </r>
  <r>
    <s v="ORD671"/>
    <d v="2024-07-19T00:00:00"/>
    <s v="CUST315"/>
    <s v="Abhinava"/>
    <x v="1"/>
    <x v="1"/>
    <x v="8"/>
    <n v="1"/>
    <n v="103"/>
    <x v="441"/>
    <n v="1"/>
  </r>
  <r>
    <s v="ORD672"/>
    <d v="2024-07-10T00:00:00"/>
    <s v="CUST403"/>
    <s v="Adesh"/>
    <x v="0"/>
    <x v="0"/>
    <x v="0"/>
    <n v="4"/>
    <n v="397"/>
    <x v="442"/>
    <n v="1"/>
  </r>
  <r>
    <s v="ORD673"/>
    <d v="2024-03-29T00:00:00"/>
    <s v="CUST001"/>
    <s v="Aaranen"/>
    <x v="1"/>
    <x v="1"/>
    <x v="8"/>
    <n v="3"/>
    <n v="287"/>
    <x v="307"/>
    <n v="1"/>
  </r>
  <r>
    <s v="ORD674"/>
    <d v="2024-05-29T00:00:00"/>
    <s v="CUST466"/>
    <s v="Aakarshan"/>
    <x v="0"/>
    <x v="0"/>
    <x v="0"/>
    <n v="5"/>
    <n v="227"/>
    <x v="443"/>
    <n v="2"/>
  </r>
  <r>
    <s v="ORD675"/>
    <d v="2024-08-03T00:00:00"/>
    <s v="CUST264"/>
    <s v="Abhivanth"/>
    <x v="1"/>
    <x v="1"/>
    <x v="5"/>
    <n v="3"/>
    <n v="239"/>
    <x v="444"/>
    <n v="1"/>
  </r>
  <r>
    <s v="ORD676"/>
    <d v="2024-04-13T00:00:00"/>
    <s v="CUST128"/>
    <s v="Aavi"/>
    <x v="1"/>
    <x v="1"/>
    <x v="8"/>
    <n v="1"/>
    <n v="128"/>
    <x v="104"/>
    <n v="2"/>
  </r>
  <r>
    <s v="ORD677"/>
    <d v="2024-07-12T00:00:00"/>
    <s v="CUST273"/>
    <s v="Aadhithyaa"/>
    <x v="0"/>
    <x v="2"/>
    <x v="7"/>
    <n v="4"/>
    <n v="38"/>
    <x v="312"/>
    <n v="2"/>
  </r>
  <r>
    <s v="ORD678"/>
    <d v="2024-09-24T00:00:00"/>
    <s v="CUST467"/>
    <s v="Abhivaadan"/>
    <x v="0"/>
    <x v="0"/>
    <x v="1"/>
    <n v="1"/>
    <n v="381"/>
    <x v="445"/>
    <n v="1"/>
  </r>
  <r>
    <s v="ORD679"/>
    <d v="2024-06-03T00:00:00"/>
    <s v="CUST414"/>
    <s v="Abheek"/>
    <x v="0"/>
    <x v="2"/>
    <x v="7"/>
    <n v="5"/>
    <n v="50"/>
    <x v="446"/>
    <n v="1"/>
  </r>
  <r>
    <s v="ORD680"/>
    <d v="2024-05-26T00:00:00"/>
    <s v="CUST080"/>
    <s v="Abhranila"/>
    <x v="0"/>
    <x v="1"/>
    <x v="5"/>
    <n v="5"/>
    <n v="190"/>
    <x v="29"/>
    <n v="2"/>
  </r>
  <r>
    <s v="ORD681"/>
    <d v="2024-07-14T00:00:00"/>
    <s v="CUST142"/>
    <s v="Arpit"/>
    <x v="0"/>
    <x v="2"/>
    <x v="7"/>
    <n v="1"/>
    <n v="50"/>
    <x v="215"/>
    <n v="2"/>
  </r>
  <r>
    <s v="ORD682"/>
    <d v="2024-03-02T00:00:00"/>
    <s v="CUST240"/>
    <s v="Abheet"/>
    <x v="1"/>
    <x v="1"/>
    <x v="8"/>
    <n v="5"/>
    <n v="155"/>
    <x v="447"/>
    <n v="1"/>
  </r>
  <r>
    <s v="ORD683"/>
    <d v="2024-06-09T00:00:00"/>
    <s v="CUST083"/>
    <s v="Aarnav"/>
    <x v="0"/>
    <x v="2"/>
    <x v="4"/>
    <n v="2"/>
    <n v="27"/>
    <x v="117"/>
    <n v="1"/>
  </r>
  <r>
    <s v="ORD684"/>
    <d v="2024-06-26T00:00:00"/>
    <s v="CUST276"/>
    <s v="Abhivaadan"/>
    <x v="0"/>
    <x v="2"/>
    <x v="4"/>
    <n v="4"/>
    <n v="43"/>
    <x v="415"/>
    <n v="1"/>
  </r>
  <r>
    <s v="ORD685"/>
    <d v="2024-01-19T00:00:00"/>
    <s v="CUST109"/>
    <s v="Aakarshan"/>
    <x v="0"/>
    <x v="0"/>
    <x v="0"/>
    <n v="1"/>
    <n v="228"/>
    <x v="428"/>
    <n v="3"/>
  </r>
  <r>
    <s v="ORD686"/>
    <d v="2024-03-08T00:00:00"/>
    <s v="CUST401"/>
    <s v="Aadijay"/>
    <x v="1"/>
    <x v="0"/>
    <x v="1"/>
    <n v="1"/>
    <n v="405"/>
    <x v="317"/>
    <n v="1"/>
  </r>
  <r>
    <s v="ORD687"/>
    <d v="2024-08-24T00:00:00"/>
    <s v="CUST475"/>
    <s v="Aadiv"/>
    <x v="1"/>
    <x v="0"/>
    <x v="3"/>
    <n v="3"/>
    <n v="415"/>
    <x v="448"/>
    <n v="1"/>
  </r>
  <r>
    <s v="ORD688"/>
    <d v="2024-03-09T00:00:00"/>
    <s v="CUST169"/>
    <s v="Aabher"/>
    <x v="0"/>
    <x v="2"/>
    <x v="6"/>
    <n v="4"/>
    <n v="40"/>
    <x v="132"/>
    <n v="1"/>
  </r>
  <r>
    <s v="ORD689"/>
    <d v="2024-02-11T00:00:00"/>
    <s v="CUST489"/>
    <s v="Abhaijeet"/>
    <x v="0"/>
    <x v="1"/>
    <x v="8"/>
    <n v="5"/>
    <n v="163"/>
    <x v="449"/>
    <n v="3"/>
  </r>
  <r>
    <s v="ORD690"/>
    <d v="2024-09-01T00:00:00"/>
    <s v="CUST049"/>
    <s v="Aasit"/>
    <x v="0"/>
    <x v="1"/>
    <x v="8"/>
    <n v="1"/>
    <n v="113"/>
    <x v="450"/>
    <n v="1"/>
  </r>
  <r>
    <s v="ORD691"/>
    <d v="2024-01-31T00:00:00"/>
    <s v="CUST138"/>
    <s v="Abner"/>
    <x v="1"/>
    <x v="2"/>
    <x v="4"/>
    <n v="4"/>
    <n v="39"/>
    <x v="451"/>
    <n v="2"/>
  </r>
  <r>
    <s v="ORD692"/>
    <d v="2024-03-29T00:00:00"/>
    <s v="CUST141"/>
    <s v="Aadhi"/>
    <x v="0"/>
    <x v="2"/>
    <x v="6"/>
    <n v="3"/>
    <n v="32"/>
    <x v="34"/>
    <n v="2"/>
  </r>
  <r>
    <s v="ORD693"/>
    <d v="2024-03-17T00:00:00"/>
    <s v="CUST065"/>
    <s v="Aaranan"/>
    <x v="0"/>
    <x v="0"/>
    <x v="3"/>
    <n v="5"/>
    <n v="335"/>
    <x v="452"/>
    <n v="3"/>
  </r>
  <r>
    <s v="ORD694"/>
    <d v="2024-01-12T00:00:00"/>
    <s v="CUST395"/>
    <s v="Aathavan"/>
    <x v="0"/>
    <x v="2"/>
    <x v="7"/>
    <n v="4"/>
    <n v="36"/>
    <x v="88"/>
    <n v="1"/>
  </r>
  <r>
    <s v="ORD695"/>
    <d v="2024-02-03T00:00:00"/>
    <s v="CUST400"/>
    <s v="Aabharan"/>
    <x v="0"/>
    <x v="2"/>
    <x v="7"/>
    <n v="4"/>
    <n v="19"/>
    <x v="119"/>
    <n v="1"/>
  </r>
  <r>
    <s v="ORD696"/>
    <d v="2024-07-29T00:00:00"/>
    <s v="CUST099"/>
    <s v="Aahwaanith"/>
    <x v="1"/>
    <x v="0"/>
    <x v="1"/>
    <n v="5"/>
    <n v="428"/>
    <x v="453"/>
    <n v="1"/>
  </r>
  <r>
    <s v="ORD697"/>
    <d v="2024-04-19T00:00:00"/>
    <s v="CUST188"/>
    <s v="Aageethan"/>
    <x v="1"/>
    <x v="1"/>
    <x v="5"/>
    <n v="3"/>
    <n v="134"/>
    <x v="268"/>
    <n v="3"/>
  </r>
  <r>
    <s v="ORD698"/>
    <d v="2024-09-28T00:00:00"/>
    <s v="CUST284"/>
    <s v="Aasav"/>
    <x v="1"/>
    <x v="1"/>
    <x v="5"/>
    <n v="5"/>
    <n v="120"/>
    <x v="454"/>
    <n v="1"/>
  </r>
  <r>
    <s v="ORD699"/>
    <d v="2024-01-09T00:00:00"/>
    <s v="CUST417"/>
    <s v="Ahan"/>
    <x v="1"/>
    <x v="2"/>
    <x v="6"/>
    <n v="1"/>
    <n v="28"/>
    <x v="360"/>
    <n v="3"/>
  </r>
  <r>
    <s v="ORD700"/>
    <d v="2024-01-15T00:00:00"/>
    <s v="CUST141"/>
    <s v="Abhu"/>
    <x v="1"/>
    <x v="0"/>
    <x v="1"/>
    <n v="3"/>
    <n v="471"/>
    <x v="381"/>
    <n v="1"/>
  </r>
  <r>
    <s v="ORD701"/>
    <d v="2024-06-01T00:00:00"/>
    <s v="CUST406"/>
    <s v="Aarushan"/>
    <x v="1"/>
    <x v="1"/>
    <x v="8"/>
    <n v="3"/>
    <n v="118"/>
    <x v="252"/>
    <n v="1"/>
  </r>
  <r>
    <s v="ORD702"/>
    <d v="2024-01-03T00:00:00"/>
    <s v="CUST339"/>
    <s v="Aahaan"/>
    <x v="0"/>
    <x v="1"/>
    <x v="2"/>
    <n v="2"/>
    <n v="291"/>
    <x v="329"/>
    <n v="2"/>
  </r>
  <r>
    <s v="ORD703"/>
    <d v="2024-03-17T00:00:00"/>
    <s v="CUST343"/>
    <s v="Abhicandra"/>
    <x v="0"/>
    <x v="1"/>
    <x v="2"/>
    <n v="5"/>
    <n v="265"/>
    <x v="455"/>
    <n v="1"/>
  </r>
  <r>
    <s v="ORD704"/>
    <d v="2024-03-21T00:00:00"/>
    <s v="CUST145"/>
    <s v="Aashman"/>
    <x v="1"/>
    <x v="2"/>
    <x v="4"/>
    <n v="4"/>
    <n v="35"/>
    <x v="191"/>
    <n v="1"/>
  </r>
  <r>
    <s v="ORD705"/>
    <d v="2024-06-12T00:00:00"/>
    <s v="CUST048"/>
    <s v="Aadimoolan"/>
    <x v="1"/>
    <x v="1"/>
    <x v="8"/>
    <n v="2"/>
    <n v="109"/>
    <x v="262"/>
    <n v="1"/>
  </r>
  <r>
    <s v="ORD706"/>
    <d v="2024-06-07T00:00:00"/>
    <s v="CUST177"/>
    <s v="Aarksh"/>
    <x v="0"/>
    <x v="0"/>
    <x v="1"/>
    <n v="5"/>
    <n v="300"/>
    <x v="456"/>
    <n v="1"/>
  </r>
  <r>
    <s v="ORD707"/>
    <d v="2024-09-01T00:00:00"/>
    <s v="CUST425"/>
    <s v="Aabher"/>
    <x v="0"/>
    <x v="2"/>
    <x v="4"/>
    <n v="5"/>
    <n v="48"/>
    <x v="74"/>
    <n v="2"/>
  </r>
  <r>
    <s v="ORD708"/>
    <d v="2024-07-15T00:00:00"/>
    <s v="CUST044"/>
    <s v="Abjit"/>
    <x v="1"/>
    <x v="1"/>
    <x v="2"/>
    <n v="1"/>
    <n v="269"/>
    <x v="457"/>
    <n v="1"/>
  </r>
  <r>
    <s v="ORD709"/>
    <d v="2024-08-18T00:00:00"/>
    <s v="CUST443"/>
    <s v="Abhrakasin"/>
    <x v="0"/>
    <x v="2"/>
    <x v="6"/>
    <n v="3"/>
    <n v="45"/>
    <x v="248"/>
    <n v="2"/>
  </r>
  <r>
    <s v="ORD710"/>
    <d v="2024-01-01T00:00:00"/>
    <s v="CUST100"/>
    <s v="Aamir"/>
    <x v="1"/>
    <x v="1"/>
    <x v="8"/>
    <n v="5"/>
    <n v="298"/>
    <x v="438"/>
    <n v="1"/>
  </r>
  <r>
    <s v="ORD711"/>
    <d v="2024-07-20T00:00:00"/>
    <s v="CUST121"/>
    <s v="Abadhya"/>
    <x v="0"/>
    <x v="0"/>
    <x v="1"/>
    <n v="4"/>
    <n v="473"/>
    <x v="458"/>
    <n v="1"/>
  </r>
  <r>
    <s v="ORD712"/>
    <d v="2024-07-15T00:00:00"/>
    <s v="CUST028"/>
    <s v="Aatma"/>
    <x v="0"/>
    <x v="1"/>
    <x v="8"/>
    <n v="4"/>
    <n v="186"/>
    <x v="81"/>
    <n v="2"/>
  </r>
  <r>
    <s v="ORD713"/>
    <d v="2024-07-11T00:00:00"/>
    <s v="CUST188"/>
    <s v="Aathiran"/>
    <x v="1"/>
    <x v="0"/>
    <x v="3"/>
    <n v="5"/>
    <n v="369"/>
    <x v="459"/>
    <n v="2"/>
  </r>
  <r>
    <s v="ORD714"/>
    <d v="2024-03-29T00:00:00"/>
    <s v="CUST313"/>
    <s v="Aadhishwaran"/>
    <x v="1"/>
    <x v="2"/>
    <x v="6"/>
    <n v="2"/>
    <n v="38"/>
    <x v="119"/>
    <n v="2"/>
  </r>
  <r>
    <s v="ORD715"/>
    <d v="2024-02-15T00:00:00"/>
    <s v="CUST034"/>
    <s v="Aalap"/>
    <x v="1"/>
    <x v="0"/>
    <x v="1"/>
    <n v="1"/>
    <n v="454"/>
    <x v="460"/>
    <n v="2"/>
  </r>
  <r>
    <s v="ORD716"/>
    <d v="2024-04-27T00:00:00"/>
    <s v="CUST431"/>
    <s v="Aaghosh"/>
    <x v="0"/>
    <x v="2"/>
    <x v="7"/>
    <n v="1"/>
    <n v="15"/>
    <x v="461"/>
    <n v="1"/>
  </r>
  <r>
    <s v="ORD717"/>
    <d v="2024-08-10T00:00:00"/>
    <s v="CUST199"/>
    <s v="Abed"/>
    <x v="0"/>
    <x v="1"/>
    <x v="8"/>
    <n v="3"/>
    <n v="208"/>
    <x v="462"/>
    <n v="2"/>
  </r>
  <r>
    <s v="ORD718"/>
    <d v="2024-01-05T00:00:00"/>
    <s v="CUST271"/>
    <s v="Aachuthan"/>
    <x v="1"/>
    <x v="1"/>
    <x v="2"/>
    <n v="1"/>
    <n v="129"/>
    <x v="123"/>
    <n v="1"/>
  </r>
  <r>
    <s v="ORD719"/>
    <d v="2024-02-22T00:00:00"/>
    <s v="CUST020"/>
    <s v="Abhyagni"/>
    <x v="1"/>
    <x v="2"/>
    <x v="6"/>
    <n v="4"/>
    <n v="37"/>
    <x v="4"/>
    <n v="1"/>
  </r>
  <r>
    <s v="ORD720"/>
    <d v="2024-03-07T00:00:00"/>
    <s v="CUST101"/>
    <s v="Abdus"/>
    <x v="1"/>
    <x v="1"/>
    <x v="2"/>
    <n v="1"/>
    <n v="207"/>
    <x v="463"/>
    <n v="1"/>
  </r>
  <r>
    <s v="ORD721"/>
    <d v="2024-01-06T00:00:00"/>
    <s v="CUST202"/>
    <s v="Aaveg"/>
    <x v="1"/>
    <x v="2"/>
    <x v="4"/>
    <n v="4"/>
    <n v="50"/>
    <x v="387"/>
    <n v="2"/>
  </r>
  <r>
    <s v="ORD722"/>
    <d v="2024-07-26T00:00:00"/>
    <s v="CUST385"/>
    <s v="Aashutosh"/>
    <x v="1"/>
    <x v="0"/>
    <x v="0"/>
    <n v="5"/>
    <n v="203"/>
    <x v="111"/>
    <n v="1"/>
  </r>
  <r>
    <s v="ORD723"/>
    <d v="2024-04-13T00:00:00"/>
    <s v="CUST187"/>
    <s v="Aarul"/>
    <x v="1"/>
    <x v="1"/>
    <x v="2"/>
    <n v="1"/>
    <n v="144"/>
    <x v="88"/>
    <n v="3"/>
  </r>
  <r>
    <s v="ORD724"/>
    <d v="2024-09-25T00:00:00"/>
    <s v="CUST216"/>
    <s v="Aakaash"/>
    <x v="1"/>
    <x v="2"/>
    <x v="7"/>
    <n v="1"/>
    <n v="26"/>
    <x v="6"/>
    <n v="3"/>
  </r>
  <r>
    <s v="ORD725"/>
    <d v="2024-06-07T00:00:00"/>
    <s v="CUST206"/>
    <s v="Abbhinav"/>
    <x v="1"/>
    <x v="2"/>
    <x v="4"/>
    <n v="1"/>
    <n v="16"/>
    <x v="68"/>
    <n v="1"/>
  </r>
  <r>
    <s v="ORD726"/>
    <d v="2024-06-25T00:00:00"/>
    <s v="CUST417"/>
    <s v="Aadhiseshwar"/>
    <x v="0"/>
    <x v="0"/>
    <x v="0"/>
    <n v="1"/>
    <n v="302"/>
    <x v="3"/>
    <n v="2"/>
  </r>
  <r>
    <s v="ORD727"/>
    <d v="2024-02-15T00:00:00"/>
    <s v="CUST082"/>
    <s v="Aaruran"/>
    <x v="0"/>
    <x v="0"/>
    <x v="0"/>
    <n v="1"/>
    <n v="397"/>
    <x v="464"/>
    <n v="2"/>
  </r>
  <r>
    <s v="ORD728"/>
    <d v="2024-04-11T00:00:00"/>
    <s v="CUST065"/>
    <s v="Abhinit"/>
    <x v="1"/>
    <x v="0"/>
    <x v="1"/>
    <n v="1"/>
    <n v="354"/>
    <x v="252"/>
    <n v="2"/>
  </r>
  <r>
    <s v="ORD729"/>
    <d v="2024-03-23T00:00:00"/>
    <s v="CUST144"/>
    <s v="Aaghosh"/>
    <x v="1"/>
    <x v="2"/>
    <x v="6"/>
    <n v="5"/>
    <n v="24"/>
    <x v="173"/>
    <n v="2"/>
  </r>
  <r>
    <s v="ORD730"/>
    <d v="2024-02-29T00:00:00"/>
    <s v="CUST159"/>
    <s v="Abhyudita"/>
    <x v="0"/>
    <x v="0"/>
    <x v="3"/>
    <n v="5"/>
    <n v="377"/>
    <x v="363"/>
    <n v="1"/>
  </r>
  <r>
    <s v="ORD731"/>
    <d v="2024-01-10T00:00:00"/>
    <s v="CUST036"/>
    <s v="Abhik"/>
    <x v="0"/>
    <x v="2"/>
    <x v="6"/>
    <n v="4"/>
    <n v="44"/>
    <x v="41"/>
    <n v="1"/>
  </r>
  <r>
    <s v="ORD732"/>
    <d v="2024-08-17T00:00:00"/>
    <s v="CUST109"/>
    <s v="Abdul"/>
    <x v="1"/>
    <x v="1"/>
    <x v="5"/>
    <n v="2"/>
    <n v="243"/>
    <x v="465"/>
    <n v="2"/>
  </r>
  <r>
    <s v="ORD733"/>
    <d v="2024-01-28T00:00:00"/>
    <s v="CUST171"/>
    <s v="Abhinivesh"/>
    <x v="1"/>
    <x v="1"/>
    <x v="5"/>
    <n v="1"/>
    <n v="267"/>
    <x v="466"/>
    <n v="3"/>
  </r>
  <r>
    <s v="ORD734"/>
    <d v="2024-08-08T00:00:00"/>
    <s v="CUST126"/>
    <s v="Abhey"/>
    <x v="1"/>
    <x v="0"/>
    <x v="3"/>
    <n v="3"/>
    <n v="389"/>
    <x v="467"/>
    <n v="3"/>
  </r>
  <r>
    <s v="ORD735"/>
    <d v="2024-08-03T00:00:00"/>
    <s v="CUST338"/>
    <s v="Abhivanth"/>
    <x v="0"/>
    <x v="1"/>
    <x v="8"/>
    <n v="1"/>
    <n v="234"/>
    <x v="277"/>
    <n v="2"/>
  </r>
  <r>
    <s v="ORD736"/>
    <d v="2024-05-21T00:00:00"/>
    <s v="CUST241"/>
    <s v="Abhidharm"/>
    <x v="1"/>
    <x v="0"/>
    <x v="1"/>
    <n v="1"/>
    <n v="426"/>
    <x v="468"/>
    <n v="3"/>
  </r>
  <r>
    <s v="ORD737"/>
    <d v="2024-02-23T00:00:00"/>
    <s v="CUST492"/>
    <s v="Aryan"/>
    <x v="0"/>
    <x v="0"/>
    <x v="3"/>
    <n v="5"/>
    <n v="319"/>
    <x v="469"/>
    <n v="1"/>
  </r>
  <r>
    <s v="ORD738"/>
    <d v="2024-07-05T00:00:00"/>
    <s v="CUST256"/>
    <s v="Abhimanuya"/>
    <x v="1"/>
    <x v="0"/>
    <x v="3"/>
    <n v="2"/>
    <n v="467"/>
    <x v="470"/>
    <n v="2"/>
  </r>
  <r>
    <s v="ORD739"/>
    <d v="2024-01-04T00:00:00"/>
    <s v="CUST285"/>
    <s v="Abbud"/>
    <x v="0"/>
    <x v="0"/>
    <x v="1"/>
    <n v="2"/>
    <n v="371"/>
    <x v="471"/>
    <n v="2"/>
  </r>
  <r>
    <s v="ORD740"/>
    <d v="2024-05-14T00:00:00"/>
    <s v="CUST443"/>
    <s v="Abjayoni"/>
    <x v="0"/>
    <x v="1"/>
    <x v="2"/>
    <n v="4"/>
    <n v="172"/>
    <x v="472"/>
    <n v="1"/>
  </r>
  <r>
    <s v="ORD741"/>
    <d v="2024-03-02T00:00:00"/>
    <s v="CUST187"/>
    <s v="Aayushman"/>
    <x v="0"/>
    <x v="1"/>
    <x v="5"/>
    <n v="1"/>
    <n v="288"/>
    <x v="473"/>
    <n v="2"/>
  </r>
  <r>
    <s v="ORD742"/>
    <d v="2024-01-26T00:00:00"/>
    <s v="CUST417"/>
    <s v="Aaran"/>
    <x v="0"/>
    <x v="2"/>
    <x v="6"/>
    <n v="4"/>
    <n v="24"/>
    <x v="34"/>
    <n v="1"/>
  </r>
  <r>
    <s v="ORD743"/>
    <d v="2024-08-29T00:00:00"/>
    <s v="CUST154"/>
    <s v="Abhinava"/>
    <x v="0"/>
    <x v="2"/>
    <x v="7"/>
    <n v="4"/>
    <n v="21"/>
    <x v="97"/>
    <n v="2"/>
  </r>
  <r>
    <s v="ORD744"/>
    <d v="2024-09-27T00:00:00"/>
    <s v="CUST138"/>
    <s v="Aaryav"/>
    <x v="0"/>
    <x v="0"/>
    <x v="0"/>
    <n v="5"/>
    <n v="397"/>
    <x v="474"/>
    <n v="1"/>
  </r>
  <r>
    <s v="ORD745"/>
    <d v="2024-02-18T00:00:00"/>
    <s v="CUST228"/>
    <s v="Abbas"/>
    <x v="0"/>
    <x v="1"/>
    <x v="8"/>
    <n v="1"/>
    <n v="100"/>
    <x v="475"/>
    <n v="2"/>
  </r>
  <r>
    <s v="ORD746"/>
    <d v="2024-06-20T00:00:00"/>
    <s v="CUST433"/>
    <s v="Aathisekan"/>
    <x v="0"/>
    <x v="1"/>
    <x v="5"/>
    <n v="3"/>
    <n v="103"/>
    <x v="476"/>
    <n v="2"/>
  </r>
  <r>
    <s v="ORD747"/>
    <d v="2024-06-30T00:00:00"/>
    <s v="CUST188"/>
    <s v="Abhivadan"/>
    <x v="0"/>
    <x v="0"/>
    <x v="1"/>
    <n v="3"/>
    <n v="421"/>
    <x v="477"/>
    <n v="1"/>
  </r>
  <r>
    <s v="ORD748"/>
    <d v="2024-06-17T00:00:00"/>
    <s v="CUST454"/>
    <s v="Aarthikan"/>
    <x v="0"/>
    <x v="2"/>
    <x v="6"/>
    <n v="5"/>
    <n v="34"/>
    <x v="421"/>
    <n v="1"/>
  </r>
  <r>
    <s v="ORD749"/>
    <d v="2024-07-13T00:00:00"/>
    <s v="CUST331"/>
    <s v="Aaranay"/>
    <x v="0"/>
    <x v="1"/>
    <x v="2"/>
    <n v="4"/>
    <n v="213"/>
    <x v="478"/>
    <n v="1"/>
  </r>
  <r>
    <s v="ORD750"/>
    <d v="2024-04-03T00:00:00"/>
    <s v="CUST012"/>
    <s v="Aashif"/>
    <x v="1"/>
    <x v="0"/>
    <x v="1"/>
    <n v="5"/>
    <n v="309"/>
    <x v="479"/>
    <n v="1"/>
  </r>
  <r>
    <s v="ORD751"/>
    <d v="2024-01-17T00:00:00"/>
    <s v="CUST277"/>
    <s v="Aathavan"/>
    <x v="1"/>
    <x v="1"/>
    <x v="8"/>
    <n v="1"/>
    <n v="119"/>
    <x v="480"/>
    <n v="1"/>
  </r>
  <r>
    <s v="ORD752"/>
    <d v="2024-08-22T00:00:00"/>
    <s v="CUST025"/>
    <s v="Aaharen"/>
    <x v="0"/>
    <x v="1"/>
    <x v="2"/>
    <n v="3"/>
    <n v="130"/>
    <x v="98"/>
    <n v="1"/>
  </r>
  <r>
    <s v="ORD753"/>
    <d v="2024-05-10T00:00:00"/>
    <s v="CUST473"/>
    <s v="Atma"/>
    <x v="1"/>
    <x v="2"/>
    <x v="7"/>
    <n v="3"/>
    <n v="17"/>
    <x v="193"/>
    <n v="2"/>
  </r>
  <r>
    <s v="ORD754"/>
    <d v="2024-07-20T00:00:00"/>
    <s v="CUST489"/>
    <s v="Aadhithyaa"/>
    <x v="1"/>
    <x v="0"/>
    <x v="0"/>
    <n v="1"/>
    <n v="290"/>
    <x v="481"/>
    <n v="2"/>
  </r>
  <r>
    <s v="ORD755"/>
    <d v="2024-09-06T00:00:00"/>
    <s v="CUST006"/>
    <s v="Abhidharm"/>
    <x v="0"/>
    <x v="0"/>
    <x v="1"/>
    <n v="5"/>
    <n v="283"/>
    <x v="482"/>
    <n v="1"/>
  </r>
  <r>
    <s v="ORD756"/>
    <d v="2024-03-30T00:00:00"/>
    <s v="CUST038"/>
    <s v="Aadhishankar"/>
    <x v="1"/>
    <x v="0"/>
    <x v="3"/>
    <n v="5"/>
    <n v="473"/>
    <x v="483"/>
    <n v="1"/>
  </r>
  <r>
    <s v="ORD757"/>
    <d v="2024-08-22T00:00:00"/>
    <s v="CUST016"/>
    <s v="Arpit"/>
    <x v="0"/>
    <x v="1"/>
    <x v="8"/>
    <n v="5"/>
    <n v="298"/>
    <x v="438"/>
    <n v="1"/>
  </r>
  <r>
    <s v="ORD758"/>
    <d v="2024-03-01T00:00:00"/>
    <s v="CUST423"/>
    <s v="Aashrut"/>
    <x v="0"/>
    <x v="2"/>
    <x v="4"/>
    <n v="5"/>
    <n v="50"/>
    <x v="446"/>
    <n v="1"/>
  </r>
  <r>
    <s v="ORD759"/>
    <d v="2024-01-15T00:00:00"/>
    <s v="CUST216"/>
    <s v="Aadyot"/>
    <x v="0"/>
    <x v="2"/>
    <x v="6"/>
    <n v="1"/>
    <n v="40"/>
    <x v="247"/>
    <n v="2"/>
  </r>
  <r>
    <s v="ORD760"/>
    <d v="2024-03-07T00:00:00"/>
    <s v="CUST494"/>
    <s v="Abdus Salaam"/>
    <x v="0"/>
    <x v="2"/>
    <x v="6"/>
    <n v="4"/>
    <n v="20"/>
    <x v="203"/>
    <n v="1"/>
  </r>
  <r>
    <s v="ORD761"/>
    <d v="2024-03-01T00:00:00"/>
    <s v="CUST270"/>
    <s v="Aathees"/>
    <x v="1"/>
    <x v="1"/>
    <x v="8"/>
    <n v="4"/>
    <n v="299"/>
    <x v="273"/>
    <n v="1"/>
  </r>
  <r>
    <s v="ORD762"/>
    <d v="2024-06-15T00:00:00"/>
    <s v="CUST386"/>
    <s v="Aariz"/>
    <x v="0"/>
    <x v="0"/>
    <x v="1"/>
    <n v="3"/>
    <n v="293"/>
    <x v="410"/>
    <n v="2"/>
  </r>
  <r>
    <s v="ORD763"/>
    <d v="2024-02-15T00:00:00"/>
    <s v="CUST486"/>
    <s v="Aaish"/>
    <x v="1"/>
    <x v="0"/>
    <x v="1"/>
    <n v="5"/>
    <n v="431"/>
    <x v="36"/>
    <n v="1"/>
  </r>
  <r>
    <s v="ORD764"/>
    <d v="2024-07-19T00:00:00"/>
    <s v="CUST152"/>
    <s v="Aryan"/>
    <x v="1"/>
    <x v="1"/>
    <x v="5"/>
    <n v="1"/>
    <n v="214"/>
    <x v="484"/>
    <n v="1"/>
  </r>
  <r>
    <s v="ORD765"/>
    <d v="2024-07-19T00:00:00"/>
    <s v="CUST224"/>
    <s v="Aathikeyan"/>
    <x v="1"/>
    <x v="0"/>
    <x v="0"/>
    <n v="4"/>
    <n v="387"/>
    <x v="485"/>
    <n v="1"/>
  </r>
  <r>
    <s v="ORD766"/>
    <d v="2024-04-05T00:00:00"/>
    <s v="CUST259"/>
    <s v="Abhinav"/>
    <x v="1"/>
    <x v="1"/>
    <x v="2"/>
    <n v="5"/>
    <n v="159"/>
    <x v="486"/>
    <n v="1"/>
  </r>
  <r>
    <s v="ORD767"/>
    <d v="2024-05-05T00:00:00"/>
    <s v="CUST128"/>
    <s v="Abedin"/>
    <x v="1"/>
    <x v="0"/>
    <x v="1"/>
    <n v="3"/>
    <n v="323"/>
    <x v="487"/>
    <n v="1"/>
  </r>
  <r>
    <s v="ORD768"/>
    <d v="2024-04-28T00:00:00"/>
    <s v="CUST272"/>
    <s v="Aaryaa"/>
    <x v="0"/>
    <x v="1"/>
    <x v="5"/>
    <n v="4"/>
    <n v="286"/>
    <x v="405"/>
    <n v="2"/>
  </r>
  <r>
    <s v="ORD769"/>
    <d v="2024-02-05T00:00:00"/>
    <s v="CUST476"/>
    <s v="Aaditeya"/>
    <x v="1"/>
    <x v="1"/>
    <x v="5"/>
    <n v="1"/>
    <n v="237"/>
    <x v="488"/>
    <n v="1"/>
  </r>
  <r>
    <s v="ORD770"/>
    <d v="2024-08-14T00:00:00"/>
    <s v="CUST252"/>
    <s v="Aalekh"/>
    <x v="1"/>
    <x v="2"/>
    <x v="6"/>
    <n v="1"/>
    <n v="36"/>
    <x v="13"/>
    <n v="2"/>
  </r>
  <r>
    <s v="ORD771"/>
    <d v="2024-08-20T00:00:00"/>
    <s v="CUST257"/>
    <s v="Aastik"/>
    <x v="1"/>
    <x v="2"/>
    <x v="6"/>
    <n v="1"/>
    <n v="28"/>
    <x v="360"/>
    <n v="3"/>
  </r>
  <r>
    <s v="ORD772"/>
    <d v="2024-01-26T00:00:00"/>
    <s v="CUST374"/>
    <s v="Aanandaswarup"/>
    <x v="0"/>
    <x v="1"/>
    <x v="5"/>
    <n v="4"/>
    <n v="237"/>
    <x v="43"/>
    <n v="2"/>
  </r>
  <r>
    <s v="ORD773"/>
    <d v="2024-01-14T00:00:00"/>
    <s v="CUST228"/>
    <s v="Aadil"/>
    <x v="1"/>
    <x v="2"/>
    <x v="7"/>
    <n v="4"/>
    <n v="24"/>
    <x v="34"/>
    <n v="1"/>
  </r>
  <r>
    <s v="ORD774"/>
    <d v="2024-09-15T00:00:00"/>
    <s v="CUST109"/>
    <s v="Abhypsit"/>
    <x v="0"/>
    <x v="1"/>
    <x v="2"/>
    <n v="3"/>
    <n v="128"/>
    <x v="489"/>
    <n v="1"/>
  </r>
  <r>
    <s v="ORD775"/>
    <d v="2024-03-19T00:00:00"/>
    <s v="CUST313"/>
    <s v="Aadijay"/>
    <x v="1"/>
    <x v="1"/>
    <x v="5"/>
    <n v="5"/>
    <n v="230"/>
    <x v="490"/>
    <n v="1"/>
  </r>
  <r>
    <s v="ORD776"/>
    <d v="2024-09-07T00:00:00"/>
    <s v="CUST061"/>
    <s v="Aadipta"/>
    <x v="1"/>
    <x v="1"/>
    <x v="2"/>
    <n v="5"/>
    <n v="158"/>
    <x v="491"/>
    <n v="2"/>
  </r>
  <r>
    <s v="ORD777"/>
    <d v="2024-07-29T00:00:00"/>
    <s v="CUST004"/>
    <s v="Abisali"/>
    <x v="0"/>
    <x v="1"/>
    <x v="5"/>
    <n v="3"/>
    <n v="202"/>
    <x v="400"/>
    <n v="1"/>
  </r>
  <r>
    <s v="ORD778"/>
    <d v="2024-09-20T00:00:00"/>
    <s v="CUST320"/>
    <s v="Aageethan"/>
    <x v="1"/>
    <x v="0"/>
    <x v="1"/>
    <n v="2"/>
    <n v="426"/>
    <x v="478"/>
    <n v="2"/>
  </r>
  <r>
    <s v="ORD779"/>
    <d v="2024-05-13T00:00:00"/>
    <s v="CUST171"/>
    <s v="Aastik"/>
    <x v="1"/>
    <x v="1"/>
    <x v="5"/>
    <n v="3"/>
    <n v="140"/>
    <x v="492"/>
    <n v="2"/>
  </r>
  <r>
    <s v="ORD780"/>
    <d v="2024-01-21T00:00:00"/>
    <s v="CUST496"/>
    <s v="Abhiraam"/>
    <x v="1"/>
    <x v="1"/>
    <x v="5"/>
    <n v="2"/>
    <n v="254"/>
    <x v="493"/>
    <n v="2"/>
  </r>
  <r>
    <s v="ORD781"/>
    <d v="2024-07-05T00:00:00"/>
    <s v="CUST496"/>
    <s v="Abhimanya"/>
    <x v="1"/>
    <x v="0"/>
    <x v="1"/>
    <n v="5"/>
    <n v="445"/>
    <x v="494"/>
    <n v="1"/>
  </r>
  <r>
    <s v="ORD782"/>
    <d v="2024-03-12T00:00:00"/>
    <s v="CUST461"/>
    <s v="Abhimanyu"/>
    <x v="0"/>
    <x v="0"/>
    <x v="3"/>
    <n v="4"/>
    <n v="422"/>
    <x v="495"/>
    <n v="1"/>
  </r>
  <r>
    <s v="ORD783"/>
    <d v="2024-09-27T00:00:00"/>
    <s v="CUST374"/>
    <s v="Aathiththyan"/>
    <x v="0"/>
    <x v="1"/>
    <x v="8"/>
    <n v="5"/>
    <n v="240"/>
    <x v="496"/>
    <n v="1"/>
  </r>
  <r>
    <s v="ORD784"/>
    <d v="2024-03-03T00:00:00"/>
    <s v="CUST111"/>
    <s v="Aakarshan"/>
    <x v="1"/>
    <x v="1"/>
    <x v="5"/>
    <n v="5"/>
    <n v="268"/>
    <x v="497"/>
    <n v="2"/>
  </r>
  <r>
    <s v="ORD785"/>
    <d v="2024-09-13T00:00:00"/>
    <s v="CUST040"/>
    <s v="Aaryan"/>
    <x v="0"/>
    <x v="2"/>
    <x v="6"/>
    <n v="5"/>
    <n v="47"/>
    <x v="182"/>
    <n v="1"/>
  </r>
  <r>
    <s v="ORD786"/>
    <d v="2024-05-26T00:00:00"/>
    <s v="CUST096"/>
    <s v="Aabishan"/>
    <x v="1"/>
    <x v="1"/>
    <x v="2"/>
    <n v="1"/>
    <n v="222"/>
    <x v="420"/>
    <n v="2"/>
  </r>
  <r>
    <s v="ORD787"/>
    <d v="2024-08-28T00:00:00"/>
    <s v="CUST419"/>
    <s v="Abaan"/>
    <x v="1"/>
    <x v="2"/>
    <x v="4"/>
    <n v="2"/>
    <n v="33"/>
    <x v="246"/>
    <n v="1"/>
  </r>
  <r>
    <s v="ORD788"/>
    <d v="2024-07-23T00:00:00"/>
    <s v="CUST447"/>
    <s v="Aasav"/>
    <x v="1"/>
    <x v="0"/>
    <x v="3"/>
    <n v="3"/>
    <n v="492"/>
    <x v="342"/>
    <n v="2"/>
  </r>
  <r>
    <s v="ORD789"/>
    <d v="2024-02-13T00:00:00"/>
    <s v="CUST272"/>
    <s v="Aathithyan"/>
    <x v="1"/>
    <x v="0"/>
    <x v="1"/>
    <n v="2"/>
    <n v="394"/>
    <x v="498"/>
    <n v="1"/>
  </r>
  <r>
    <s v="ORD790"/>
    <d v="2024-08-06T00:00:00"/>
    <s v="CUST214"/>
    <s v="Abhivira"/>
    <x v="1"/>
    <x v="1"/>
    <x v="5"/>
    <n v="5"/>
    <n v="282"/>
    <x v="499"/>
    <n v="1"/>
  </r>
  <r>
    <s v="ORD791"/>
    <d v="2024-05-08T00:00:00"/>
    <s v="CUST338"/>
    <s v="Anand Swarup"/>
    <x v="1"/>
    <x v="0"/>
    <x v="1"/>
    <n v="2"/>
    <n v="347"/>
    <x v="500"/>
    <n v="1"/>
  </r>
  <r>
    <s v="ORD792"/>
    <d v="2024-09-15T00:00:00"/>
    <s v="CUST126"/>
    <s v="Abiram"/>
    <x v="0"/>
    <x v="0"/>
    <x v="0"/>
    <n v="4"/>
    <n v="398"/>
    <x v="501"/>
    <n v="2"/>
  </r>
  <r>
    <s v="ORD793"/>
    <d v="2024-05-09T00:00:00"/>
    <s v="CUST293"/>
    <s v="Abdul Ali"/>
    <x v="1"/>
    <x v="2"/>
    <x v="7"/>
    <n v="2"/>
    <n v="13"/>
    <x v="6"/>
    <n v="1"/>
  </r>
  <r>
    <s v="ORD794"/>
    <d v="2024-06-30T00:00:00"/>
    <s v="CUST077"/>
    <s v="Abdus Sattar"/>
    <x v="0"/>
    <x v="2"/>
    <x v="6"/>
    <n v="2"/>
    <n v="40"/>
    <x v="203"/>
    <n v="1"/>
  </r>
  <r>
    <s v="ORD795"/>
    <d v="2024-03-22T00:00:00"/>
    <s v="CUST172"/>
    <s v="Aakash"/>
    <x v="0"/>
    <x v="0"/>
    <x v="0"/>
    <n v="3"/>
    <n v="335"/>
    <x v="429"/>
    <n v="1"/>
  </r>
  <r>
    <s v="ORD796"/>
    <d v="2024-06-12T00:00:00"/>
    <s v="CUST220"/>
    <s v="Aadhiraiyan"/>
    <x v="1"/>
    <x v="0"/>
    <x v="0"/>
    <n v="3"/>
    <n v="492"/>
    <x v="342"/>
    <n v="1"/>
  </r>
  <r>
    <s v="ORD797"/>
    <d v="2024-09-03T00:00:00"/>
    <s v="CUST378"/>
    <s v="Aadyot"/>
    <x v="0"/>
    <x v="2"/>
    <x v="4"/>
    <n v="5"/>
    <n v="37"/>
    <x v="502"/>
    <n v="2"/>
  </r>
  <r>
    <s v="ORD798"/>
    <d v="2024-02-19T00:00:00"/>
    <s v="CUST393"/>
    <s v="Abinav"/>
    <x v="0"/>
    <x v="0"/>
    <x v="1"/>
    <n v="3"/>
    <n v="413"/>
    <x v="503"/>
    <n v="2"/>
  </r>
  <r>
    <s v="ORD799"/>
    <d v="2024-06-27T00:00:00"/>
    <s v="CUST241"/>
    <s v="Aasim"/>
    <x v="0"/>
    <x v="1"/>
    <x v="8"/>
    <n v="5"/>
    <n v="212"/>
    <x v="85"/>
    <n v="2"/>
  </r>
  <r>
    <s v="ORD800"/>
    <d v="2024-03-10T00:00:00"/>
    <s v="CUST415"/>
    <s v="Abdus"/>
    <x v="1"/>
    <x v="1"/>
    <x v="2"/>
    <n v="5"/>
    <n v="215"/>
    <x v="504"/>
    <n v="1"/>
  </r>
  <r>
    <s v="ORD801"/>
    <d v="2024-03-11T00:00:00"/>
    <s v="CUST215"/>
    <s v="Abhiman"/>
    <x v="1"/>
    <x v="1"/>
    <x v="2"/>
    <n v="1"/>
    <n v="247"/>
    <x v="27"/>
    <n v="1"/>
  </r>
  <r>
    <s v="ORD802"/>
    <d v="2024-06-24T00:00:00"/>
    <s v="CUST229"/>
    <s v="Aarksh"/>
    <x v="1"/>
    <x v="1"/>
    <x v="2"/>
    <n v="2"/>
    <n v="120"/>
    <x v="74"/>
    <n v="1"/>
  </r>
  <r>
    <s v="ORD803"/>
    <d v="2024-08-04T00:00:00"/>
    <s v="CUST437"/>
    <s v="Abhay"/>
    <x v="0"/>
    <x v="1"/>
    <x v="5"/>
    <n v="2"/>
    <n v="184"/>
    <x v="505"/>
    <n v="1"/>
  </r>
  <r>
    <s v="ORD804"/>
    <d v="2024-02-12T00:00:00"/>
    <s v="CUST234"/>
    <s v="Aananth"/>
    <x v="1"/>
    <x v="0"/>
    <x v="0"/>
    <n v="1"/>
    <n v="436"/>
    <x v="506"/>
    <n v="3"/>
  </r>
  <r>
    <s v="ORD805"/>
    <d v="2024-01-16T00:00:00"/>
    <s v="CUST484"/>
    <s v="Aarochan"/>
    <x v="1"/>
    <x v="0"/>
    <x v="3"/>
    <n v="5"/>
    <n v="383"/>
    <x v="374"/>
    <n v="1"/>
  </r>
  <r>
    <s v="ORD806"/>
    <d v="2024-09-27T00:00:00"/>
    <s v="CUST257"/>
    <s v="Aadijay"/>
    <x v="0"/>
    <x v="1"/>
    <x v="2"/>
    <n v="5"/>
    <n v="284"/>
    <x v="507"/>
    <n v="2"/>
  </r>
  <r>
    <s v="ORD807"/>
    <d v="2024-09-03T00:00:00"/>
    <s v="CUST197"/>
    <s v="Aabhas"/>
    <x v="0"/>
    <x v="2"/>
    <x v="4"/>
    <n v="3"/>
    <n v="23"/>
    <x v="31"/>
    <n v="3"/>
  </r>
  <r>
    <s v="ORD808"/>
    <d v="2024-09-01T00:00:00"/>
    <s v="CUST242"/>
    <s v="Aashif"/>
    <x v="1"/>
    <x v="0"/>
    <x v="3"/>
    <n v="1"/>
    <n v="414"/>
    <x v="508"/>
    <n v="2"/>
  </r>
  <r>
    <s v="ORD809"/>
    <d v="2024-03-03T00:00:00"/>
    <s v="CUST057"/>
    <s v="Aatmay"/>
    <x v="0"/>
    <x v="2"/>
    <x v="6"/>
    <n v="3"/>
    <n v="17"/>
    <x v="193"/>
    <n v="1"/>
  </r>
  <r>
    <s v="ORD810"/>
    <d v="2024-04-02T00:00:00"/>
    <s v="CUST199"/>
    <s v="Abhya"/>
    <x v="1"/>
    <x v="1"/>
    <x v="8"/>
    <n v="4"/>
    <n v="138"/>
    <x v="232"/>
    <n v="1"/>
  </r>
  <r>
    <s v="ORD811"/>
    <d v="2024-02-26T00:00:00"/>
    <s v="CUST340"/>
    <s v="Aavansh"/>
    <x v="0"/>
    <x v="2"/>
    <x v="7"/>
    <n v="1"/>
    <n v="33"/>
    <x v="12"/>
    <n v="1"/>
  </r>
  <r>
    <s v="ORD812"/>
    <d v="2024-06-29T00:00:00"/>
    <s v="CUST336"/>
    <s v="Abhaya Prada"/>
    <x v="0"/>
    <x v="1"/>
    <x v="8"/>
    <n v="5"/>
    <n v="263"/>
    <x v="509"/>
    <n v="1"/>
  </r>
  <r>
    <s v="ORD813"/>
    <d v="2024-03-03T00:00:00"/>
    <s v="CUST318"/>
    <s v="Abay"/>
    <x v="0"/>
    <x v="1"/>
    <x v="2"/>
    <n v="5"/>
    <n v="140"/>
    <x v="510"/>
    <n v="1"/>
  </r>
  <r>
    <s v="ORD814"/>
    <d v="2024-02-19T00:00:00"/>
    <s v="CUST349"/>
    <s v="Aaranan"/>
    <x v="0"/>
    <x v="1"/>
    <x v="8"/>
    <n v="4"/>
    <n v="165"/>
    <x v="346"/>
    <n v="1"/>
  </r>
  <r>
    <s v="ORD815"/>
    <d v="2024-02-13T00:00:00"/>
    <s v="CUST209"/>
    <s v="Abedin"/>
    <x v="1"/>
    <x v="0"/>
    <x v="0"/>
    <n v="1"/>
    <n v="481"/>
    <x v="511"/>
    <n v="1"/>
  </r>
  <r>
    <s v="ORD816"/>
    <d v="2024-01-22T00:00:00"/>
    <s v="CUST478"/>
    <s v="Aarochan"/>
    <x v="0"/>
    <x v="1"/>
    <x v="5"/>
    <n v="1"/>
    <n v="207"/>
    <x v="463"/>
    <n v="3"/>
  </r>
  <r>
    <s v="ORD817"/>
    <d v="2024-03-15T00:00:00"/>
    <s v="CUST466"/>
    <s v="Aadhisan"/>
    <x v="0"/>
    <x v="0"/>
    <x v="0"/>
    <n v="2"/>
    <n v="448"/>
    <x v="151"/>
    <n v="1"/>
  </r>
  <r>
    <s v="ORD818"/>
    <d v="2024-09-03T00:00:00"/>
    <s v="CUST312"/>
    <s v="Aamil"/>
    <x v="0"/>
    <x v="2"/>
    <x v="7"/>
    <n v="5"/>
    <n v="45"/>
    <x v="26"/>
    <n v="1"/>
  </r>
  <r>
    <s v="ORD819"/>
    <d v="2024-05-16T00:00:00"/>
    <s v="CUST378"/>
    <s v="Aasav"/>
    <x v="0"/>
    <x v="0"/>
    <x v="0"/>
    <n v="4"/>
    <n v="263"/>
    <x v="512"/>
    <n v="1"/>
  </r>
  <r>
    <s v="ORD820"/>
    <d v="2024-08-28T00:00:00"/>
    <s v="CUST196"/>
    <s v="Aadarshanan"/>
    <x v="0"/>
    <x v="1"/>
    <x v="2"/>
    <n v="5"/>
    <n v="260"/>
    <x v="10"/>
    <n v="1"/>
  </r>
  <r>
    <s v="ORD821"/>
    <d v="2024-08-27T00:00:00"/>
    <s v="CUST197"/>
    <s v="Aathiruban"/>
    <x v="1"/>
    <x v="1"/>
    <x v="8"/>
    <n v="2"/>
    <n v="271"/>
    <x v="513"/>
    <n v="2"/>
  </r>
  <r>
    <s v="ORD822"/>
    <d v="2024-03-15T00:00:00"/>
    <s v="CUST298"/>
    <s v="Aadarsh"/>
    <x v="0"/>
    <x v="2"/>
    <x v="6"/>
    <n v="5"/>
    <n v="17"/>
    <x v="395"/>
    <n v="1"/>
  </r>
  <r>
    <s v="ORD823"/>
    <d v="2024-05-25T00:00:00"/>
    <s v="CUST080"/>
    <s v="Abhijaat"/>
    <x v="1"/>
    <x v="2"/>
    <x v="4"/>
    <n v="2"/>
    <n v="20"/>
    <x v="247"/>
    <n v="1"/>
  </r>
  <r>
    <s v="ORD824"/>
    <d v="2024-02-25T00:00:00"/>
    <s v="CUST362"/>
    <s v="Aaruran"/>
    <x v="0"/>
    <x v="0"/>
    <x v="1"/>
    <n v="5"/>
    <n v="319"/>
    <x v="469"/>
    <n v="1"/>
  </r>
  <r>
    <s v="ORD825"/>
    <d v="2024-09-26T00:00:00"/>
    <s v="CUST453"/>
    <s v="Aashank"/>
    <x v="0"/>
    <x v="1"/>
    <x v="5"/>
    <n v="1"/>
    <n v="196"/>
    <x v="21"/>
    <n v="1"/>
  </r>
  <r>
    <s v="ORD826"/>
    <d v="2024-06-07T00:00:00"/>
    <s v="CUST468"/>
    <s v="Aaryan"/>
    <x v="0"/>
    <x v="2"/>
    <x v="6"/>
    <n v="2"/>
    <n v="24"/>
    <x v="154"/>
    <n v="1"/>
  </r>
  <r>
    <s v="ORD827"/>
    <d v="2024-04-24T00:00:00"/>
    <s v="CUST433"/>
    <s v="Abhideep"/>
    <x v="0"/>
    <x v="1"/>
    <x v="2"/>
    <n v="4"/>
    <n v="244"/>
    <x v="80"/>
    <n v="1"/>
  </r>
  <r>
    <s v="ORD828"/>
    <d v="2024-05-28T00:00:00"/>
    <s v="CUST244"/>
    <s v="Aadhiseshwar"/>
    <x v="0"/>
    <x v="0"/>
    <x v="0"/>
    <n v="1"/>
    <n v="245"/>
    <x v="184"/>
    <n v="1"/>
  </r>
  <r>
    <s v="ORD829"/>
    <d v="2024-04-20T00:00:00"/>
    <s v="CUST432"/>
    <s v="Aadhavan"/>
    <x v="0"/>
    <x v="0"/>
    <x v="1"/>
    <n v="3"/>
    <n v="449"/>
    <x v="514"/>
    <n v="2"/>
  </r>
  <r>
    <s v="ORD830"/>
    <d v="2024-09-01T00:00:00"/>
    <s v="CUST202"/>
    <s v="Aarpit"/>
    <x v="1"/>
    <x v="0"/>
    <x v="1"/>
    <n v="1"/>
    <n v="460"/>
    <x v="515"/>
    <n v="1"/>
  </r>
  <r>
    <s v="ORD831"/>
    <d v="2024-02-27T00:00:00"/>
    <s v="CUST391"/>
    <s v="Abdul Raheem"/>
    <x v="1"/>
    <x v="1"/>
    <x v="5"/>
    <n v="3"/>
    <n v="213"/>
    <x v="397"/>
    <n v="2"/>
  </r>
  <r>
    <s v="ORD832"/>
    <d v="2024-06-14T00:00:00"/>
    <s v="CUST289"/>
    <s v="Abezag"/>
    <x v="0"/>
    <x v="2"/>
    <x v="4"/>
    <n v="5"/>
    <n v="15"/>
    <x v="183"/>
    <n v="3"/>
  </r>
  <r>
    <s v="ORD833"/>
    <d v="2024-02-26T00:00:00"/>
    <s v="CUST478"/>
    <s v="Aadalarasan"/>
    <x v="0"/>
    <x v="1"/>
    <x v="8"/>
    <n v="1"/>
    <n v="209"/>
    <x v="516"/>
    <n v="2"/>
  </r>
  <r>
    <s v="ORD834"/>
    <d v="2024-06-24T00:00:00"/>
    <s v="CUST193"/>
    <s v="Aahnik"/>
    <x v="0"/>
    <x v="2"/>
    <x v="6"/>
    <n v="3"/>
    <n v="26"/>
    <x v="393"/>
    <n v="1"/>
  </r>
  <r>
    <s v="ORD835"/>
    <d v="2024-04-23T00:00:00"/>
    <s v="CUST257"/>
    <s v="Abdul"/>
    <x v="1"/>
    <x v="2"/>
    <x v="6"/>
    <n v="4"/>
    <n v="21"/>
    <x v="97"/>
    <n v="1"/>
  </r>
  <r>
    <s v="ORD836"/>
    <d v="2024-06-04T00:00:00"/>
    <s v="CUST137"/>
    <s v="Abhisek"/>
    <x v="1"/>
    <x v="0"/>
    <x v="0"/>
    <n v="3"/>
    <n v="303"/>
    <x v="517"/>
    <n v="1"/>
  </r>
  <r>
    <s v="ORD837"/>
    <d v="2024-03-04T00:00:00"/>
    <s v="CUST067"/>
    <s v="Aalakshya"/>
    <x v="0"/>
    <x v="0"/>
    <x v="3"/>
    <n v="1"/>
    <n v="350"/>
    <x v="518"/>
    <n v="1"/>
  </r>
  <r>
    <s v="ORD838"/>
    <d v="2024-06-25T00:00:00"/>
    <s v="CUST460"/>
    <s v="Aaranay"/>
    <x v="0"/>
    <x v="1"/>
    <x v="8"/>
    <n v="2"/>
    <n v="128"/>
    <x v="368"/>
    <n v="1"/>
  </r>
  <r>
    <s v="ORD839"/>
    <d v="2024-07-02T00:00:00"/>
    <s v="CUST462"/>
    <s v="Aashrith"/>
    <x v="0"/>
    <x v="0"/>
    <x v="0"/>
    <n v="5"/>
    <n v="355"/>
    <x v="155"/>
    <n v="3"/>
  </r>
  <r>
    <s v="ORD840"/>
    <d v="2024-01-03T00:00:00"/>
    <s v="CUST114"/>
    <s v="Abhijaat"/>
    <x v="0"/>
    <x v="2"/>
    <x v="4"/>
    <n v="4"/>
    <n v="11"/>
    <x v="83"/>
    <n v="1"/>
  </r>
  <r>
    <s v="ORD841"/>
    <d v="2024-05-03T00:00:00"/>
    <s v="CUST094"/>
    <s v="Abhinandan"/>
    <x v="1"/>
    <x v="1"/>
    <x v="5"/>
    <n v="2"/>
    <n v="162"/>
    <x v="264"/>
    <n v="1"/>
  </r>
  <r>
    <s v="ORD842"/>
    <d v="2024-08-14T00:00:00"/>
    <s v="CUST120"/>
    <s v="Aagneya"/>
    <x v="1"/>
    <x v="1"/>
    <x v="8"/>
    <n v="1"/>
    <n v="103"/>
    <x v="441"/>
    <n v="1"/>
  </r>
  <r>
    <s v="ORD843"/>
    <d v="2024-05-09T00:00:00"/>
    <s v="CUST274"/>
    <s v="Aaranay"/>
    <x v="1"/>
    <x v="2"/>
    <x v="4"/>
    <n v="4"/>
    <n v="44"/>
    <x v="41"/>
    <n v="1"/>
  </r>
  <r>
    <s v="ORD844"/>
    <d v="2024-02-04T00:00:00"/>
    <s v="CUST364"/>
    <s v="Aabharan"/>
    <x v="1"/>
    <x v="0"/>
    <x v="3"/>
    <n v="1"/>
    <n v="440"/>
    <x v="519"/>
    <n v="1"/>
  </r>
  <r>
    <s v="ORD845"/>
    <d v="2024-02-15T00:00:00"/>
    <s v="CUST110"/>
    <s v="Aashish"/>
    <x v="1"/>
    <x v="2"/>
    <x v="7"/>
    <n v="2"/>
    <n v="33"/>
    <x v="246"/>
    <n v="2"/>
  </r>
  <r>
    <s v="ORD846"/>
    <d v="2024-08-25T00:00:00"/>
    <s v="CUST142"/>
    <s v="Aadhikeshavan"/>
    <x v="1"/>
    <x v="1"/>
    <x v="5"/>
    <n v="2"/>
    <n v="175"/>
    <x v="518"/>
    <n v="1"/>
  </r>
  <r>
    <s v="ORD847"/>
    <d v="2024-08-07T00:00:00"/>
    <s v="CUST073"/>
    <s v="Aalap"/>
    <x v="0"/>
    <x v="0"/>
    <x v="3"/>
    <n v="3"/>
    <n v="398"/>
    <x v="54"/>
    <n v="2"/>
  </r>
  <r>
    <s v="ORD848"/>
    <d v="2024-08-03T00:00:00"/>
    <s v="CUST060"/>
    <s v="Aarooran"/>
    <x v="1"/>
    <x v="1"/>
    <x v="2"/>
    <n v="3"/>
    <n v="254"/>
    <x v="520"/>
    <n v="1"/>
  </r>
  <r>
    <s v="ORD849"/>
    <d v="2024-03-17T00:00:00"/>
    <s v="CUST241"/>
    <s v="Aahlaad"/>
    <x v="1"/>
    <x v="1"/>
    <x v="5"/>
    <n v="4"/>
    <n v="104"/>
    <x v="521"/>
    <n v="1"/>
  </r>
  <r>
    <s v="ORD850"/>
    <d v="2024-04-28T00:00:00"/>
    <s v="CUST436"/>
    <s v="Aaruthan"/>
    <x v="0"/>
    <x v="0"/>
    <x v="0"/>
    <n v="4"/>
    <n v="230"/>
    <x v="522"/>
    <n v="1"/>
  </r>
  <r>
    <s v="ORD851"/>
    <d v="2024-04-29T00:00:00"/>
    <s v="CUST039"/>
    <s v="Abdus Shahid"/>
    <x v="0"/>
    <x v="1"/>
    <x v="5"/>
    <n v="4"/>
    <n v="260"/>
    <x v="523"/>
    <n v="1"/>
  </r>
  <r>
    <s v="ORD852"/>
    <d v="2024-02-08T00:00:00"/>
    <s v="CUST292"/>
    <s v="Abaan"/>
    <x v="0"/>
    <x v="1"/>
    <x v="8"/>
    <n v="3"/>
    <n v="225"/>
    <x v="524"/>
    <n v="1"/>
  </r>
  <r>
    <s v="ORD853"/>
    <d v="2024-04-13T00:00:00"/>
    <s v="CUST303"/>
    <s v="Aahan"/>
    <x v="0"/>
    <x v="1"/>
    <x v="2"/>
    <n v="2"/>
    <n v="117"/>
    <x v="277"/>
    <n v="1"/>
  </r>
  <r>
    <s v="ORD854"/>
    <d v="2024-05-21T00:00:00"/>
    <s v="CUST162"/>
    <s v="Aaroush"/>
    <x v="0"/>
    <x v="0"/>
    <x v="1"/>
    <n v="1"/>
    <n v="383"/>
    <x v="204"/>
    <n v="2"/>
  </r>
  <r>
    <s v="ORD855"/>
    <d v="2024-08-03T00:00:00"/>
    <s v="CUST028"/>
    <s v="Abhinand"/>
    <x v="1"/>
    <x v="0"/>
    <x v="1"/>
    <n v="1"/>
    <n v="240"/>
    <x v="74"/>
    <n v="1"/>
  </r>
  <r>
    <s v="ORD856"/>
    <d v="2024-05-07T00:00:00"/>
    <s v="CUST242"/>
    <s v="Abhisumat"/>
    <x v="0"/>
    <x v="0"/>
    <x v="0"/>
    <n v="1"/>
    <n v="471"/>
    <x v="525"/>
    <n v="1"/>
  </r>
  <r>
    <s v="ORD857"/>
    <d v="2024-04-15T00:00:00"/>
    <s v="CUST096"/>
    <s v="Aadil"/>
    <x v="0"/>
    <x v="1"/>
    <x v="8"/>
    <n v="2"/>
    <n v="250"/>
    <x v="272"/>
    <n v="1"/>
  </r>
  <r>
    <s v="ORD858"/>
    <d v="2024-05-15T00:00:00"/>
    <s v="CUST428"/>
    <s v="Aakesh"/>
    <x v="1"/>
    <x v="1"/>
    <x v="8"/>
    <n v="5"/>
    <n v="219"/>
    <x v="105"/>
    <n v="1"/>
  </r>
  <r>
    <s v="ORD859"/>
    <d v="2024-02-18T00:00:00"/>
    <s v="CUST250"/>
    <s v="Aaveg"/>
    <x v="1"/>
    <x v="0"/>
    <x v="1"/>
    <n v="4"/>
    <n v="249"/>
    <x v="108"/>
    <n v="1"/>
  </r>
  <r>
    <s v="ORD860"/>
    <d v="2024-02-07T00:00:00"/>
    <s v="CUST352"/>
    <s v="Aarish"/>
    <x v="1"/>
    <x v="0"/>
    <x v="1"/>
    <n v="5"/>
    <n v="466"/>
    <x v="526"/>
    <n v="1"/>
  </r>
  <r>
    <s v="ORD861"/>
    <d v="2024-08-18T00:00:00"/>
    <s v="CUST388"/>
    <s v="Abhimanuya"/>
    <x v="0"/>
    <x v="0"/>
    <x v="1"/>
    <n v="4"/>
    <n v="213"/>
    <x v="478"/>
    <n v="1"/>
  </r>
  <r>
    <s v="ORD862"/>
    <d v="2024-02-10T00:00:00"/>
    <s v="CUST371"/>
    <s v="Aathipan"/>
    <x v="0"/>
    <x v="2"/>
    <x v="7"/>
    <n v="3"/>
    <n v="32"/>
    <x v="34"/>
    <n v="1"/>
  </r>
  <r>
    <s v="ORD863"/>
    <d v="2024-04-27T00:00:00"/>
    <s v="CUST447"/>
    <s v="Abhineet"/>
    <x v="1"/>
    <x v="1"/>
    <x v="2"/>
    <n v="3"/>
    <n v="159"/>
    <x v="527"/>
    <n v="1"/>
  </r>
  <r>
    <s v="ORD864"/>
    <d v="2024-02-29T00:00:00"/>
    <s v="CUST176"/>
    <s v="Aatman"/>
    <x v="0"/>
    <x v="0"/>
    <x v="0"/>
    <n v="5"/>
    <n v="279"/>
    <x v="528"/>
    <n v="2"/>
  </r>
  <r>
    <s v="ORD865"/>
    <d v="2024-05-21T00:00:00"/>
    <s v="CUST073"/>
    <s v="Aasav"/>
    <x v="1"/>
    <x v="1"/>
    <x v="2"/>
    <n v="5"/>
    <n v="117"/>
    <x v="529"/>
    <n v="1"/>
  </r>
  <r>
    <s v="ORD866"/>
    <d v="2024-05-28T00:00:00"/>
    <s v="CUST285"/>
    <s v="Aarif"/>
    <x v="0"/>
    <x v="0"/>
    <x v="1"/>
    <n v="1"/>
    <n v="363"/>
    <x v="530"/>
    <n v="1"/>
  </r>
  <r>
    <s v="ORD867"/>
    <d v="2024-01-17T00:00:00"/>
    <s v="CUST282"/>
    <s v="Ashish"/>
    <x v="1"/>
    <x v="0"/>
    <x v="3"/>
    <n v="5"/>
    <n v="277"/>
    <x v="337"/>
    <n v="1"/>
  </r>
  <r>
    <s v="ORD868"/>
    <d v="2024-03-29T00:00:00"/>
    <s v="CUST034"/>
    <s v="Abdul Rahaman"/>
    <x v="0"/>
    <x v="0"/>
    <x v="3"/>
    <n v="1"/>
    <n v="378"/>
    <x v="414"/>
    <n v="1"/>
  </r>
  <r>
    <s v="ORD869"/>
    <d v="2024-02-01T00:00:00"/>
    <s v="CUST126"/>
    <s v="Abhisar"/>
    <x v="0"/>
    <x v="0"/>
    <x v="0"/>
    <n v="2"/>
    <n v="317"/>
    <x v="531"/>
    <n v="1"/>
  </r>
  <r>
    <s v="ORD870"/>
    <d v="2024-05-28T00:00:00"/>
    <s v="CUST026"/>
    <s v="Aayam"/>
    <x v="0"/>
    <x v="2"/>
    <x v="4"/>
    <n v="4"/>
    <n v="48"/>
    <x v="18"/>
    <n v="1"/>
  </r>
  <r>
    <s v="ORD871"/>
    <d v="2024-04-03T00:00:00"/>
    <s v="CUST024"/>
    <s v="Aadhish"/>
    <x v="0"/>
    <x v="2"/>
    <x v="6"/>
    <n v="4"/>
    <n v="40"/>
    <x v="132"/>
    <n v="1"/>
  </r>
  <r>
    <s v="ORD872"/>
    <d v="2024-02-22T00:00:00"/>
    <s v="CUST402"/>
    <s v="Aalap"/>
    <x v="1"/>
    <x v="1"/>
    <x v="5"/>
    <n v="4"/>
    <n v="273"/>
    <x v="532"/>
    <n v="1"/>
  </r>
  <r>
    <s v="ORD873"/>
    <d v="2024-06-27T00:00:00"/>
    <s v="CUST287"/>
    <s v="Aadalazhagan"/>
    <x v="1"/>
    <x v="1"/>
    <x v="2"/>
    <n v="1"/>
    <n v="231"/>
    <x v="365"/>
    <n v="1"/>
  </r>
  <r>
    <s v="ORD874"/>
    <d v="2024-03-31T00:00:00"/>
    <s v="CUST119"/>
    <s v="Aaditya"/>
    <x v="0"/>
    <x v="2"/>
    <x v="6"/>
    <n v="1"/>
    <n v="24"/>
    <x v="84"/>
    <n v="1"/>
  </r>
  <r>
    <s v="ORD875"/>
    <d v="2024-05-18T00:00:00"/>
    <s v="CUST462"/>
    <s v="Abhjeet"/>
    <x v="1"/>
    <x v="1"/>
    <x v="8"/>
    <n v="1"/>
    <n v="256"/>
    <x v="368"/>
    <n v="2"/>
  </r>
  <r>
    <s v="ORD876"/>
    <d v="2024-06-28T00:00:00"/>
    <s v="CUST093"/>
    <s v="Aadhil"/>
    <x v="1"/>
    <x v="2"/>
    <x v="6"/>
    <n v="3"/>
    <n v="48"/>
    <x v="88"/>
    <n v="1"/>
  </r>
  <r>
    <s v="ORD877"/>
    <d v="2024-07-30T00:00:00"/>
    <s v="CUST147"/>
    <s v="Aabishayan"/>
    <x v="0"/>
    <x v="2"/>
    <x v="7"/>
    <n v="1"/>
    <n v="34"/>
    <x v="226"/>
    <n v="1"/>
  </r>
  <r>
    <s v="ORD878"/>
    <d v="2024-07-10T00:00:00"/>
    <s v="CUST216"/>
    <s v="Abhisar"/>
    <x v="1"/>
    <x v="1"/>
    <x v="5"/>
    <n v="4"/>
    <n v="225"/>
    <x v="110"/>
    <n v="1"/>
  </r>
  <r>
    <s v="ORD879"/>
    <d v="2024-01-19T00:00:00"/>
    <s v="CUST332"/>
    <s v="Abhikam"/>
    <x v="0"/>
    <x v="1"/>
    <x v="2"/>
    <n v="4"/>
    <n v="211"/>
    <x v="533"/>
    <n v="1"/>
  </r>
  <r>
    <s v="ORD880"/>
    <d v="2024-01-16T00:00:00"/>
    <s v="CUST170"/>
    <s v="Aarit"/>
    <x v="1"/>
    <x v="2"/>
    <x v="4"/>
    <n v="4"/>
    <n v="49"/>
    <x v="21"/>
    <n v="1"/>
  </r>
  <r>
    <s v="ORD881"/>
    <d v="2024-03-13T00:00:00"/>
    <s v="CUST219"/>
    <s v="Arpit"/>
    <x v="0"/>
    <x v="1"/>
    <x v="2"/>
    <n v="3"/>
    <n v="133"/>
    <x v="534"/>
    <n v="1"/>
  </r>
  <r>
    <s v="ORD882"/>
    <d v="2024-05-20T00:00:00"/>
    <s v="CUST412"/>
    <s v="Abhisyanta"/>
    <x v="1"/>
    <x v="2"/>
    <x v="4"/>
    <n v="2"/>
    <n v="25"/>
    <x v="215"/>
    <n v="2"/>
  </r>
  <r>
    <s v="ORD883"/>
    <d v="2024-04-05T00:00:00"/>
    <s v="CUST204"/>
    <s v="Abdus Sami"/>
    <x v="1"/>
    <x v="0"/>
    <x v="0"/>
    <n v="1"/>
    <n v="476"/>
    <x v="535"/>
    <n v="3"/>
  </r>
  <r>
    <s v="ORD884"/>
    <d v="2024-04-19T00:00:00"/>
    <s v="CUST253"/>
    <s v="Abhijaya"/>
    <x v="0"/>
    <x v="0"/>
    <x v="3"/>
    <n v="2"/>
    <n v="381"/>
    <x v="520"/>
    <n v="2"/>
  </r>
  <r>
    <s v="ORD885"/>
    <d v="2024-08-30T00:00:00"/>
    <s v="CUST007"/>
    <s v="Abhineet"/>
    <x v="1"/>
    <x v="1"/>
    <x v="5"/>
    <n v="1"/>
    <n v="189"/>
    <x v="536"/>
    <n v="1"/>
  </r>
  <r>
    <s v="ORD886"/>
    <d v="2024-03-26T00:00:00"/>
    <s v="CUST430"/>
    <s v="Abhideep"/>
    <x v="1"/>
    <x v="2"/>
    <x v="6"/>
    <n v="1"/>
    <n v="30"/>
    <x v="24"/>
    <n v="1"/>
  </r>
  <r>
    <s v="ORD887"/>
    <d v="2024-02-02T00:00:00"/>
    <s v="CUST273"/>
    <s v="Aamod"/>
    <x v="1"/>
    <x v="1"/>
    <x v="8"/>
    <n v="3"/>
    <n v="201"/>
    <x v="537"/>
    <n v="1"/>
  </r>
  <r>
    <s v="ORD888"/>
    <d v="2024-08-10T00:00:00"/>
    <s v="CUST232"/>
    <s v="Aaryamik"/>
    <x v="0"/>
    <x v="2"/>
    <x v="4"/>
    <n v="3"/>
    <n v="16"/>
    <x v="154"/>
    <n v="1"/>
  </r>
  <r>
    <s v="ORD889"/>
    <d v="2024-07-26T00:00:00"/>
    <s v="CUST465"/>
    <s v="Aashay"/>
    <x v="0"/>
    <x v="0"/>
    <x v="0"/>
    <n v="1"/>
    <n v="460"/>
    <x v="515"/>
    <n v="1"/>
  </r>
  <r>
    <s v="ORD890"/>
    <d v="2024-05-17T00:00:00"/>
    <s v="CUST140"/>
    <s v="Aashay"/>
    <x v="0"/>
    <x v="1"/>
    <x v="5"/>
    <n v="2"/>
    <n v="222"/>
    <x v="538"/>
    <n v="1"/>
  </r>
  <r>
    <s v="ORD891"/>
    <d v="2024-08-19T00:00:00"/>
    <s v="CUST155"/>
    <s v="Abhinandana"/>
    <x v="1"/>
    <x v="1"/>
    <x v="5"/>
    <n v="4"/>
    <n v="185"/>
    <x v="319"/>
    <n v="1"/>
  </r>
  <r>
    <s v="ORD892"/>
    <d v="2024-06-12T00:00:00"/>
    <s v="CUST235"/>
    <s v="Abhipuj"/>
    <x v="1"/>
    <x v="1"/>
    <x v="8"/>
    <n v="4"/>
    <n v="126"/>
    <x v="416"/>
    <n v="1"/>
  </r>
  <r>
    <s v="ORD893"/>
    <d v="2024-07-25T00:00:00"/>
    <s v="CUST290"/>
    <s v="Abdus Shakur"/>
    <x v="1"/>
    <x v="0"/>
    <x v="3"/>
    <n v="5"/>
    <n v="357"/>
    <x v="539"/>
    <n v="1"/>
  </r>
  <r>
    <s v="ORD894"/>
    <d v="2024-08-15T00:00:00"/>
    <s v="CUST123"/>
    <s v="Aadhithya"/>
    <x v="0"/>
    <x v="2"/>
    <x v="6"/>
    <n v="1"/>
    <n v="28"/>
    <x v="360"/>
    <n v="2"/>
  </r>
  <r>
    <s v="ORD895"/>
    <d v="2024-06-26T00:00:00"/>
    <s v="CUST489"/>
    <s v="Abheek"/>
    <x v="0"/>
    <x v="0"/>
    <x v="0"/>
    <n v="2"/>
    <n v="270"/>
    <x v="540"/>
    <n v="1"/>
  </r>
  <r>
    <s v="ORD896"/>
    <d v="2024-09-19T00:00:00"/>
    <s v="CUST189"/>
    <s v="Aalap"/>
    <x v="1"/>
    <x v="1"/>
    <x v="2"/>
    <n v="4"/>
    <n v="282"/>
    <x v="90"/>
    <n v="1"/>
  </r>
  <r>
    <s v="ORD897"/>
    <d v="2024-05-03T00:00:00"/>
    <s v="CUST390"/>
    <s v="Abijith"/>
    <x v="0"/>
    <x v="2"/>
    <x v="6"/>
    <n v="5"/>
    <n v="35"/>
    <x v="118"/>
    <n v="1"/>
  </r>
  <r>
    <s v="ORD898"/>
    <d v="2024-09-16T00:00:00"/>
    <s v="CUST339"/>
    <s v="Abdus Samad"/>
    <x v="0"/>
    <x v="2"/>
    <x v="6"/>
    <n v="2"/>
    <n v="18"/>
    <x v="13"/>
    <n v="1"/>
  </r>
  <r>
    <s v="ORD899"/>
    <d v="2024-01-01T00:00:00"/>
    <s v="CUST320"/>
    <s v="Atmaram"/>
    <x v="1"/>
    <x v="2"/>
    <x v="7"/>
    <n v="2"/>
    <n v="21"/>
    <x v="190"/>
    <n v="1"/>
  </r>
  <r>
    <s v="ORD900"/>
    <d v="2024-02-05T00:00:00"/>
    <s v="CUST317"/>
    <s v="Aahva"/>
    <x v="1"/>
    <x v="0"/>
    <x v="1"/>
    <n v="5"/>
    <n v="352"/>
    <x v="541"/>
    <n v="1"/>
  </r>
  <r>
    <s v="ORD901"/>
    <d v="2024-01-31T00:00:00"/>
    <s v="CUST110"/>
    <s v="Aacharya"/>
    <x v="0"/>
    <x v="2"/>
    <x v="4"/>
    <n v="4"/>
    <n v="10"/>
    <x v="247"/>
    <n v="1"/>
  </r>
  <r>
    <s v="ORD902"/>
    <d v="2024-09-09T00:00:00"/>
    <s v="CUST210"/>
    <s v="Aaron"/>
    <x v="0"/>
    <x v="1"/>
    <x v="8"/>
    <n v="1"/>
    <n v="283"/>
    <x v="542"/>
    <n v="2"/>
  </r>
  <r>
    <s v="ORD903"/>
    <d v="2024-01-02T00:00:00"/>
    <s v="CUST163"/>
    <s v="Aayushmaan"/>
    <x v="0"/>
    <x v="0"/>
    <x v="3"/>
    <n v="4"/>
    <n v="264"/>
    <x v="543"/>
    <n v="1"/>
  </r>
  <r>
    <s v="ORD904"/>
    <d v="2024-03-21T00:00:00"/>
    <s v="CUST383"/>
    <s v="Abhik"/>
    <x v="0"/>
    <x v="0"/>
    <x v="3"/>
    <n v="1"/>
    <n v="343"/>
    <x v="544"/>
    <n v="1"/>
  </r>
  <r>
    <s v="ORD905"/>
    <d v="2024-04-19T00:00:00"/>
    <s v="CUST210"/>
    <s v="Aandi"/>
    <x v="0"/>
    <x v="0"/>
    <x v="0"/>
    <n v="2"/>
    <n v="264"/>
    <x v="545"/>
    <n v="1"/>
  </r>
  <r>
    <s v="ORD906"/>
    <d v="2024-05-30T00:00:00"/>
    <s v="CUST452"/>
    <s v="Aadhiban"/>
    <x v="0"/>
    <x v="0"/>
    <x v="3"/>
    <n v="1"/>
    <n v="478"/>
    <x v="225"/>
    <n v="1"/>
  </r>
  <r>
    <s v="ORD907"/>
    <d v="2024-05-30T00:00:00"/>
    <s v="CUST375"/>
    <s v="Abhimani"/>
    <x v="0"/>
    <x v="2"/>
    <x v="7"/>
    <n v="2"/>
    <n v="23"/>
    <x v="227"/>
    <n v="1"/>
  </r>
  <r>
    <s v="ORD908"/>
    <d v="2024-04-22T00:00:00"/>
    <s v="CUST253"/>
    <s v="Abhihita"/>
    <x v="1"/>
    <x v="1"/>
    <x v="2"/>
    <n v="2"/>
    <n v="290"/>
    <x v="163"/>
    <n v="1"/>
  </r>
  <r>
    <s v="ORD909"/>
    <d v="2024-08-03T00:00:00"/>
    <s v="CUST236"/>
    <s v="Aazim"/>
    <x v="0"/>
    <x v="1"/>
    <x v="5"/>
    <n v="3"/>
    <n v="175"/>
    <x v="127"/>
    <n v="1"/>
  </r>
  <r>
    <s v="ORD910"/>
    <d v="2024-09-22T00:00:00"/>
    <s v="CUST280"/>
    <s v="Aathiththyan"/>
    <x v="1"/>
    <x v="1"/>
    <x v="8"/>
    <n v="5"/>
    <n v="283"/>
    <x v="482"/>
    <n v="1"/>
  </r>
  <r>
    <s v="ORD911"/>
    <d v="2024-05-12T00:00:00"/>
    <s v="CUST204"/>
    <s v="Abedin"/>
    <x v="0"/>
    <x v="2"/>
    <x v="7"/>
    <n v="4"/>
    <n v="41"/>
    <x v="546"/>
    <n v="2"/>
  </r>
  <r>
    <s v="ORD912"/>
    <d v="2024-02-23T00:00:00"/>
    <s v="CUST391"/>
    <s v="Abhyudev"/>
    <x v="0"/>
    <x v="0"/>
    <x v="3"/>
    <n v="4"/>
    <n v="499"/>
    <x v="547"/>
    <n v="1"/>
  </r>
  <r>
    <s v="ORD913"/>
    <d v="2024-04-26T00:00:00"/>
    <s v="CUST068"/>
    <s v="Aashrut"/>
    <x v="1"/>
    <x v="2"/>
    <x v="7"/>
    <n v="1"/>
    <n v="45"/>
    <x v="212"/>
    <n v="4"/>
  </r>
  <r>
    <s v="ORD914"/>
    <d v="2024-09-08T00:00:00"/>
    <s v="CUST009"/>
    <s v="Aamodin"/>
    <x v="0"/>
    <x v="2"/>
    <x v="7"/>
    <n v="5"/>
    <n v="43"/>
    <x v="548"/>
    <n v="1"/>
  </r>
  <r>
    <s v="ORD915"/>
    <d v="2024-01-18T00:00:00"/>
    <s v="CUST448"/>
    <s v="Abbir"/>
    <x v="0"/>
    <x v="1"/>
    <x v="8"/>
    <n v="3"/>
    <n v="220"/>
    <x v="346"/>
    <n v="1"/>
  </r>
  <r>
    <s v="ORD916"/>
    <d v="2024-05-23T00:00:00"/>
    <s v="CUST432"/>
    <s v="Abhik"/>
    <x v="1"/>
    <x v="1"/>
    <x v="5"/>
    <n v="1"/>
    <n v="256"/>
    <x v="368"/>
    <n v="1"/>
  </r>
  <r>
    <s v="ORD917"/>
    <d v="2024-04-17T00:00:00"/>
    <s v="CUST123"/>
    <s v="Aasim"/>
    <x v="1"/>
    <x v="1"/>
    <x v="8"/>
    <n v="1"/>
    <n v="170"/>
    <x v="421"/>
    <n v="1"/>
  </r>
  <r>
    <s v="ORD918"/>
    <d v="2024-08-08T00:00:00"/>
    <s v="CUST047"/>
    <s v="Abhimanuya"/>
    <x v="1"/>
    <x v="1"/>
    <x v="8"/>
    <n v="1"/>
    <n v="193"/>
    <x v="549"/>
    <n v="3"/>
  </r>
  <r>
    <s v="ORD919"/>
    <d v="2024-01-19T00:00:00"/>
    <s v="CUST045"/>
    <s v="Abhidi"/>
    <x v="0"/>
    <x v="0"/>
    <x v="1"/>
    <n v="4"/>
    <n v="415"/>
    <x v="550"/>
    <n v="1"/>
  </r>
  <r>
    <s v="ORD920"/>
    <d v="2024-09-25T00:00:00"/>
    <s v="CUST066"/>
    <s v="Abhilash"/>
    <x v="1"/>
    <x v="2"/>
    <x v="7"/>
    <n v="1"/>
    <n v="10"/>
    <x v="82"/>
    <n v="1"/>
  </r>
  <r>
    <s v="ORD921"/>
    <d v="2024-06-10T00:00:00"/>
    <s v="CUST182"/>
    <s v="Abbud"/>
    <x v="1"/>
    <x v="0"/>
    <x v="0"/>
    <n v="2"/>
    <n v="315"/>
    <x v="551"/>
    <n v="1"/>
  </r>
  <r>
    <s v="ORD922"/>
    <d v="2024-09-21T00:00:00"/>
    <s v="CUST111"/>
    <s v="Aaranan"/>
    <x v="0"/>
    <x v="2"/>
    <x v="4"/>
    <n v="1"/>
    <n v="36"/>
    <x v="13"/>
    <n v="1"/>
  </r>
  <r>
    <s v="ORD923"/>
    <d v="2024-06-07T00:00:00"/>
    <s v="CUST082"/>
    <s v="Abhivanth"/>
    <x v="0"/>
    <x v="0"/>
    <x v="1"/>
    <n v="1"/>
    <n v="430"/>
    <x v="552"/>
    <n v="1"/>
  </r>
  <r>
    <s v="ORD924"/>
    <d v="2024-08-06T00:00:00"/>
    <s v="CUST473"/>
    <s v="Abhith"/>
    <x v="0"/>
    <x v="1"/>
    <x v="8"/>
    <n v="1"/>
    <n v="199"/>
    <x v="553"/>
    <n v="1"/>
  </r>
  <r>
    <s v="ORD925"/>
    <d v="2024-02-13T00:00:00"/>
    <s v="CUST412"/>
    <s v="Aavish"/>
    <x v="0"/>
    <x v="2"/>
    <x v="4"/>
    <n v="1"/>
    <n v="30"/>
    <x v="24"/>
    <n v="1"/>
  </r>
  <r>
    <s v="ORD926"/>
    <d v="2024-01-17T00:00:00"/>
    <s v="CUST144"/>
    <s v="Abed"/>
    <x v="0"/>
    <x v="0"/>
    <x v="0"/>
    <n v="3"/>
    <n v="392"/>
    <x v="554"/>
    <n v="1"/>
  </r>
  <r>
    <s v="ORD927"/>
    <d v="2024-05-24T00:00:00"/>
    <s v="CUST404"/>
    <s v="Aadim"/>
    <x v="0"/>
    <x v="2"/>
    <x v="6"/>
    <n v="5"/>
    <n v="34"/>
    <x v="421"/>
    <n v="1"/>
  </r>
  <r>
    <s v="ORD928"/>
    <d v="2024-08-13T00:00:00"/>
    <s v="CUST256"/>
    <s v="Aarvalan"/>
    <x v="0"/>
    <x v="0"/>
    <x v="3"/>
    <n v="3"/>
    <n v="496"/>
    <x v="555"/>
    <n v="1"/>
  </r>
  <r>
    <s v="ORD929"/>
    <d v="2024-03-02T00:00:00"/>
    <s v="CUST171"/>
    <s v="Abinav"/>
    <x v="0"/>
    <x v="1"/>
    <x v="5"/>
    <n v="3"/>
    <n v="187"/>
    <x v="354"/>
    <n v="1"/>
  </r>
  <r>
    <s v="ORD930"/>
    <d v="2024-05-03T00:00:00"/>
    <s v="CUST116"/>
    <s v="Aayansh"/>
    <x v="1"/>
    <x v="1"/>
    <x v="2"/>
    <n v="3"/>
    <n v="186"/>
    <x v="556"/>
    <n v="1"/>
  </r>
  <r>
    <s v="ORD931"/>
    <d v="2024-02-28T00:00:00"/>
    <s v="CUST064"/>
    <s v="Aavanyan"/>
    <x v="1"/>
    <x v="1"/>
    <x v="8"/>
    <n v="1"/>
    <n v="201"/>
    <x v="557"/>
    <n v="1"/>
  </r>
  <r>
    <s v="ORD932"/>
    <d v="2024-07-11T00:00:00"/>
    <s v="CUST426"/>
    <s v="Aavesh"/>
    <x v="0"/>
    <x v="1"/>
    <x v="5"/>
    <n v="2"/>
    <n v="290"/>
    <x v="163"/>
    <n v="3"/>
  </r>
  <r>
    <s v="ORD933"/>
    <d v="2024-04-06T00:00:00"/>
    <s v="CUST187"/>
    <s v="Aahaan"/>
    <x v="1"/>
    <x v="0"/>
    <x v="1"/>
    <n v="1"/>
    <n v="458"/>
    <x v="409"/>
    <n v="1"/>
  </r>
  <r>
    <s v="ORD934"/>
    <d v="2024-08-06T00:00:00"/>
    <s v="CUST491"/>
    <s v="Aadith"/>
    <x v="1"/>
    <x v="0"/>
    <x v="3"/>
    <n v="3"/>
    <n v="225"/>
    <x v="524"/>
    <n v="1"/>
  </r>
  <r>
    <s v="ORD935"/>
    <d v="2024-04-02T00:00:00"/>
    <s v="CUST047"/>
    <s v="Abhipuj"/>
    <x v="1"/>
    <x v="0"/>
    <x v="0"/>
    <n v="2"/>
    <n v="223"/>
    <x v="175"/>
    <n v="2"/>
  </r>
  <r>
    <s v="ORD936"/>
    <d v="2024-08-14T00:00:00"/>
    <s v="CUST386"/>
    <s v="Abhinu"/>
    <x v="1"/>
    <x v="1"/>
    <x v="2"/>
    <n v="2"/>
    <n v="294"/>
    <x v="558"/>
    <n v="1"/>
  </r>
  <r>
    <s v="ORD937"/>
    <d v="2024-06-11T00:00:00"/>
    <s v="CUST289"/>
    <s v="Aaliyan"/>
    <x v="0"/>
    <x v="1"/>
    <x v="8"/>
    <n v="4"/>
    <n v="216"/>
    <x v="559"/>
    <n v="2"/>
  </r>
  <r>
    <s v="ORD938"/>
    <d v="2024-01-23T00:00:00"/>
    <s v="CUST051"/>
    <s v="Abdus Sattar"/>
    <x v="0"/>
    <x v="0"/>
    <x v="0"/>
    <n v="3"/>
    <n v="273"/>
    <x v="560"/>
    <n v="1"/>
  </r>
  <r>
    <s v="ORD939"/>
    <d v="2024-06-11T00:00:00"/>
    <s v="CUST107"/>
    <s v="Aadim"/>
    <x v="1"/>
    <x v="1"/>
    <x v="5"/>
    <n v="5"/>
    <n v="267"/>
    <x v="561"/>
    <n v="1"/>
  </r>
  <r>
    <s v="ORD940"/>
    <d v="2024-07-08T00:00:00"/>
    <s v="CUST200"/>
    <s v="Abhijun"/>
    <x v="1"/>
    <x v="2"/>
    <x v="6"/>
    <n v="4"/>
    <n v="16"/>
    <x v="112"/>
    <n v="1"/>
  </r>
  <r>
    <s v="ORD941"/>
    <d v="2024-09-24T00:00:00"/>
    <s v="CUST033"/>
    <s v="Aakhyaan"/>
    <x v="1"/>
    <x v="2"/>
    <x v="4"/>
    <n v="3"/>
    <n v="49"/>
    <x v="153"/>
    <n v="1"/>
  </r>
  <r>
    <s v="ORD942"/>
    <d v="2024-02-03T00:00:00"/>
    <s v="CUST149"/>
    <s v="Aaryaman"/>
    <x v="0"/>
    <x v="0"/>
    <x v="3"/>
    <n v="1"/>
    <n v="320"/>
    <x v="562"/>
    <n v="1"/>
  </r>
  <r>
    <s v="ORD943"/>
    <d v="2024-06-25T00:00:00"/>
    <s v="CUST367"/>
    <s v="Aangat"/>
    <x v="0"/>
    <x v="0"/>
    <x v="1"/>
    <n v="1"/>
    <n v="372"/>
    <x v="563"/>
    <n v="1"/>
  </r>
  <r>
    <s v="ORD944"/>
    <d v="2024-01-25T00:00:00"/>
    <s v="CUST234"/>
    <s v="Aamil"/>
    <x v="0"/>
    <x v="1"/>
    <x v="2"/>
    <n v="3"/>
    <n v="141"/>
    <x v="564"/>
    <n v="2"/>
  </r>
  <r>
    <s v="ORD945"/>
    <d v="2024-07-01T00:00:00"/>
    <s v="CUST106"/>
    <s v="Abinish"/>
    <x v="1"/>
    <x v="1"/>
    <x v="5"/>
    <n v="5"/>
    <n v="218"/>
    <x v="371"/>
    <n v="1"/>
  </r>
  <r>
    <s v="ORD946"/>
    <d v="2024-09-14T00:00:00"/>
    <s v="CUST350"/>
    <s v="Aahwaanith"/>
    <x v="0"/>
    <x v="0"/>
    <x v="0"/>
    <n v="2"/>
    <n v="200"/>
    <x v="250"/>
    <n v="1"/>
  </r>
  <r>
    <s v="ORD947"/>
    <d v="2024-02-03T00:00:00"/>
    <s v="CUST245"/>
    <s v="Abhijvala"/>
    <x v="0"/>
    <x v="1"/>
    <x v="8"/>
    <n v="4"/>
    <n v="291"/>
    <x v="287"/>
    <n v="1"/>
  </r>
  <r>
    <s v="ORD948"/>
    <d v="2024-05-21T00:00:00"/>
    <s v="CUST426"/>
    <s v="Aashay"/>
    <x v="0"/>
    <x v="2"/>
    <x v="4"/>
    <n v="3"/>
    <n v="29"/>
    <x v="320"/>
    <n v="2"/>
  </r>
  <r>
    <s v="ORD949"/>
    <d v="2024-01-17T00:00:00"/>
    <s v="CUST493"/>
    <s v="Aadhiren"/>
    <x v="0"/>
    <x v="0"/>
    <x v="3"/>
    <n v="4"/>
    <n v="438"/>
    <x v="565"/>
    <n v="2"/>
  </r>
  <r>
    <s v="ORD950"/>
    <d v="2024-06-07T00:00:00"/>
    <s v="CUST176"/>
    <s v="Aandi"/>
    <x v="1"/>
    <x v="2"/>
    <x v="6"/>
    <n v="1"/>
    <n v="43"/>
    <x v="566"/>
    <n v="1"/>
  </r>
  <r>
    <s v="ORD951"/>
    <d v="2024-01-07T00:00:00"/>
    <s v="CUST322"/>
    <s v="Aadithyakethu"/>
    <x v="0"/>
    <x v="1"/>
    <x v="5"/>
    <n v="5"/>
    <n v="198"/>
    <x v="567"/>
    <n v="1"/>
  </r>
  <r>
    <s v="ORD952"/>
    <d v="2024-07-22T00:00:00"/>
    <s v="CUST424"/>
    <s v="Aaryan"/>
    <x v="0"/>
    <x v="2"/>
    <x v="6"/>
    <n v="5"/>
    <n v="45"/>
    <x v="26"/>
    <n v="1"/>
  </r>
  <r>
    <s v="ORD953"/>
    <d v="2024-05-01T00:00:00"/>
    <s v="CUST032"/>
    <s v="Aadesh"/>
    <x v="0"/>
    <x v="1"/>
    <x v="8"/>
    <n v="3"/>
    <n v="127"/>
    <x v="445"/>
    <n v="1"/>
  </r>
  <r>
    <s v="ORD954"/>
    <d v="2024-05-31T00:00:00"/>
    <s v="CUST308"/>
    <s v="Aar"/>
    <x v="0"/>
    <x v="2"/>
    <x v="4"/>
    <n v="2"/>
    <n v="11"/>
    <x v="404"/>
    <n v="1"/>
  </r>
  <r>
    <s v="ORD955"/>
    <d v="2024-03-12T00:00:00"/>
    <s v="CUST247"/>
    <s v="Abhinav"/>
    <x v="1"/>
    <x v="2"/>
    <x v="7"/>
    <n v="3"/>
    <n v="46"/>
    <x v="52"/>
    <n v="1"/>
  </r>
  <r>
    <s v="ORD956"/>
    <d v="2024-05-23T00:00:00"/>
    <s v="CUST115"/>
    <s v="Aavansh"/>
    <x v="0"/>
    <x v="0"/>
    <x v="3"/>
    <n v="4"/>
    <n v="361"/>
    <x v="294"/>
    <n v="1"/>
  </r>
  <r>
    <s v="ORD957"/>
    <d v="2024-06-22T00:00:00"/>
    <s v="CUST197"/>
    <s v="Aftab"/>
    <x v="0"/>
    <x v="2"/>
    <x v="7"/>
    <n v="3"/>
    <n v="32"/>
    <x v="34"/>
    <n v="1"/>
  </r>
  <r>
    <s v="ORD958"/>
    <d v="2024-07-13T00:00:00"/>
    <s v="CUST326"/>
    <s v="Aashir"/>
    <x v="1"/>
    <x v="0"/>
    <x v="0"/>
    <n v="2"/>
    <n v="231"/>
    <x v="243"/>
    <n v="1"/>
  </r>
  <r>
    <s v="ORD959"/>
    <d v="2024-03-22T00:00:00"/>
    <s v="CUST231"/>
    <s v="Abhya"/>
    <x v="1"/>
    <x v="2"/>
    <x v="7"/>
    <n v="4"/>
    <n v="40"/>
    <x v="132"/>
    <n v="1"/>
  </r>
  <r>
    <s v="ORD960"/>
    <d v="2024-09-28T00:00:00"/>
    <s v="CUST425"/>
    <s v="Aatmanand"/>
    <x v="0"/>
    <x v="0"/>
    <x v="3"/>
    <n v="1"/>
    <n v="311"/>
    <x v="568"/>
    <n v="1"/>
  </r>
  <r>
    <s v="ORD961"/>
    <d v="2024-05-30T00:00:00"/>
    <s v="CUST234"/>
    <s v="Aacharya"/>
    <x v="1"/>
    <x v="2"/>
    <x v="4"/>
    <n v="1"/>
    <n v="22"/>
    <x v="404"/>
    <n v="1"/>
  </r>
  <r>
    <s v="ORD962"/>
    <d v="2024-01-28T00:00:00"/>
    <s v="CUST204"/>
    <s v="Abhya"/>
    <x v="1"/>
    <x v="2"/>
    <x v="6"/>
    <n v="3"/>
    <n v="45"/>
    <x v="248"/>
    <n v="1"/>
  </r>
  <r>
    <s v="ORD963"/>
    <d v="2024-06-16T00:00:00"/>
    <s v="CUST297"/>
    <s v="Aakhyaan"/>
    <x v="0"/>
    <x v="0"/>
    <x v="1"/>
    <n v="4"/>
    <n v="360"/>
    <x v="256"/>
    <n v="1"/>
  </r>
  <r>
    <s v="ORD964"/>
    <d v="2024-04-01T00:00:00"/>
    <s v="CUST449"/>
    <s v="Abhijit"/>
    <x v="1"/>
    <x v="0"/>
    <x v="0"/>
    <n v="1"/>
    <n v="416"/>
    <x v="521"/>
    <n v="1"/>
  </r>
  <r>
    <s v="ORD965"/>
    <d v="2024-07-09T00:00:00"/>
    <s v="CUST011"/>
    <s v="Abhijeet"/>
    <x v="0"/>
    <x v="2"/>
    <x v="6"/>
    <n v="5"/>
    <n v="14"/>
    <x v="47"/>
    <n v="1"/>
  </r>
  <r>
    <s v="ORD966"/>
    <d v="2024-03-10T00:00:00"/>
    <s v="CUST455"/>
    <s v="Abhinandan"/>
    <x v="0"/>
    <x v="2"/>
    <x v="6"/>
    <n v="3"/>
    <n v="39"/>
    <x v="569"/>
    <n v="1"/>
  </r>
  <r>
    <s v="ORD967"/>
    <d v="2024-06-11T00:00:00"/>
    <s v="CUST212"/>
    <s v="Aakampan"/>
    <x v="0"/>
    <x v="2"/>
    <x v="7"/>
    <n v="3"/>
    <n v="41"/>
    <x v="406"/>
    <n v="1"/>
  </r>
  <r>
    <s v="ORD968"/>
    <d v="2024-09-16T00:00:00"/>
    <s v="CUST456"/>
    <s v="Abhypsit"/>
    <x v="1"/>
    <x v="0"/>
    <x v="0"/>
    <n v="4"/>
    <n v="391"/>
    <x v="570"/>
    <n v="1"/>
  </r>
  <r>
    <s v="ORD969"/>
    <d v="2024-03-06T00:00:00"/>
    <s v="CUST434"/>
    <s v="Aadhiban"/>
    <x v="0"/>
    <x v="0"/>
    <x v="1"/>
    <n v="2"/>
    <n v="267"/>
    <x v="199"/>
    <n v="1"/>
  </r>
  <r>
    <s v="ORD970"/>
    <d v="2024-08-27T00:00:00"/>
    <s v="CUST462"/>
    <s v="Abhisyanta"/>
    <x v="0"/>
    <x v="1"/>
    <x v="5"/>
    <n v="1"/>
    <n v="216"/>
    <x v="571"/>
    <n v="1"/>
  </r>
  <r>
    <s v="ORD971"/>
    <d v="2024-05-27T00:00:00"/>
    <s v="CUST005"/>
    <s v="Abedin"/>
    <x v="1"/>
    <x v="1"/>
    <x v="5"/>
    <n v="4"/>
    <n v="218"/>
    <x v="138"/>
    <n v="1"/>
  </r>
  <r>
    <s v="ORD972"/>
    <d v="2024-04-19T00:00:00"/>
    <s v="CUST470"/>
    <s v="Aaranay"/>
    <x v="0"/>
    <x v="2"/>
    <x v="7"/>
    <n v="5"/>
    <n v="13"/>
    <x v="572"/>
    <n v="1"/>
  </r>
  <r>
    <s v="ORD973"/>
    <d v="2024-01-22T00:00:00"/>
    <s v="CUST289"/>
    <s v="Ashish"/>
    <x v="0"/>
    <x v="0"/>
    <x v="0"/>
    <n v="5"/>
    <n v="481"/>
    <x v="19"/>
    <n v="1"/>
  </r>
  <r>
    <s v="ORD974"/>
    <d v="2024-04-28T00:00:00"/>
    <s v="CUST162"/>
    <s v="Aangat"/>
    <x v="1"/>
    <x v="2"/>
    <x v="4"/>
    <n v="3"/>
    <n v="24"/>
    <x v="11"/>
    <n v="1"/>
  </r>
  <r>
    <s v="ORD975"/>
    <d v="2024-07-28T00:00:00"/>
    <s v="CUST058"/>
    <s v="Aaryavir"/>
    <x v="0"/>
    <x v="0"/>
    <x v="3"/>
    <n v="1"/>
    <n v="416"/>
    <x v="521"/>
    <n v="1"/>
  </r>
  <r>
    <s v="ORD976"/>
    <d v="2024-03-03T00:00:00"/>
    <s v="CUST493"/>
    <s v="Aayam"/>
    <x v="0"/>
    <x v="1"/>
    <x v="8"/>
    <n v="3"/>
    <n v="190"/>
    <x v="64"/>
    <n v="1"/>
  </r>
  <r>
    <s v="ORD977"/>
    <d v="2024-07-07T00:00:00"/>
    <s v="CUST384"/>
    <s v="Aasvi"/>
    <x v="0"/>
    <x v="0"/>
    <x v="1"/>
    <n v="3"/>
    <n v="338"/>
    <x v="38"/>
    <n v="1"/>
  </r>
  <r>
    <s v="ORD978"/>
    <d v="2024-09-26T00:00:00"/>
    <s v="CUST068"/>
    <s v="Aashutosh"/>
    <x v="0"/>
    <x v="0"/>
    <x v="3"/>
    <n v="2"/>
    <n v="496"/>
    <x v="573"/>
    <n v="3"/>
  </r>
  <r>
    <s v="ORD979"/>
    <d v="2024-07-29T00:00:00"/>
    <s v="CUST085"/>
    <s v="Abbudin"/>
    <x v="1"/>
    <x v="2"/>
    <x v="7"/>
    <n v="5"/>
    <n v="45"/>
    <x v="26"/>
    <n v="3"/>
  </r>
  <r>
    <s v="ORD980"/>
    <d v="2024-04-15T00:00:00"/>
    <s v="CUST085"/>
    <s v="Aabir"/>
    <x v="0"/>
    <x v="1"/>
    <x v="5"/>
    <n v="3"/>
    <n v="182"/>
    <x v="390"/>
    <n v="2"/>
  </r>
  <r>
    <s v="ORD981"/>
    <d v="2024-02-21T00:00:00"/>
    <s v="CUST393"/>
    <s v="Aaban"/>
    <x v="1"/>
    <x v="2"/>
    <x v="4"/>
    <n v="2"/>
    <n v="40"/>
    <x v="203"/>
    <n v="1"/>
  </r>
  <r>
    <s v="ORD982"/>
    <d v="2024-09-01T00:00:00"/>
    <s v="CUST087"/>
    <s v="Aavansh"/>
    <x v="0"/>
    <x v="2"/>
    <x v="4"/>
    <n v="3"/>
    <n v="39"/>
    <x v="569"/>
    <n v="1"/>
  </r>
  <r>
    <s v="ORD983"/>
    <d v="2024-04-10T00:00:00"/>
    <s v="CUST088"/>
    <s v="Abijith"/>
    <x v="1"/>
    <x v="2"/>
    <x v="6"/>
    <n v="2"/>
    <n v="16"/>
    <x v="574"/>
    <n v="1"/>
  </r>
  <r>
    <s v="ORD984"/>
    <d v="2024-01-19T00:00:00"/>
    <s v="CUST008"/>
    <s v="Abhijat"/>
    <x v="0"/>
    <x v="2"/>
    <x v="6"/>
    <n v="1"/>
    <n v="50"/>
    <x v="215"/>
    <n v="1"/>
  </r>
  <r>
    <s v="ORD985"/>
    <d v="2024-03-26T00:00:00"/>
    <s v="CUST252"/>
    <s v="Aadith"/>
    <x v="1"/>
    <x v="0"/>
    <x v="3"/>
    <n v="1"/>
    <n v="452"/>
    <x v="124"/>
    <n v="1"/>
  </r>
  <r>
    <s v="ORD986"/>
    <d v="2024-06-11T00:00:00"/>
    <s v="CUST003"/>
    <s v="Aalhad"/>
    <x v="1"/>
    <x v="1"/>
    <x v="8"/>
    <n v="1"/>
    <n v="279"/>
    <x v="575"/>
    <n v="1"/>
  </r>
  <r>
    <s v="ORD987"/>
    <d v="2024-05-02T00:00:00"/>
    <s v="CUST068"/>
    <s v="Aasit"/>
    <x v="1"/>
    <x v="1"/>
    <x v="8"/>
    <n v="2"/>
    <n v="211"/>
    <x v="576"/>
    <n v="2"/>
  </r>
  <r>
    <s v="ORD988"/>
    <d v="2024-02-05T00:00:00"/>
    <s v="CUST061"/>
    <s v="Abhimanyu"/>
    <x v="0"/>
    <x v="1"/>
    <x v="5"/>
    <n v="3"/>
    <n v="217"/>
    <x v="577"/>
    <n v="1"/>
  </r>
  <r>
    <s v="ORD989"/>
    <d v="2024-02-05T00:00:00"/>
    <s v="CUST068"/>
    <s v="Aathith"/>
    <x v="1"/>
    <x v="1"/>
    <x v="8"/>
    <n v="2"/>
    <n v="203"/>
    <x v="291"/>
    <n v="1"/>
  </r>
  <r>
    <s v="ORD990"/>
    <d v="2024-04-20T00:00:00"/>
    <s v="CUST426"/>
    <s v="Aathees"/>
    <x v="0"/>
    <x v="0"/>
    <x v="1"/>
    <n v="5"/>
    <n v="348"/>
    <x v="578"/>
    <n v="1"/>
  </r>
  <r>
    <s v="ORD991"/>
    <d v="2024-03-30T00:00:00"/>
    <s v="CUST380"/>
    <s v="Abheer"/>
    <x v="1"/>
    <x v="2"/>
    <x v="7"/>
    <n v="1"/>
    <n v="31"/>
    <x v="579"/>
    <n v="1"/>
  </r>
  <r>
    <s v="ORD992"/>
    <d v="2024-09-09T00:00:00"/>
    <s v="CUST358"/>
    <s v="Aakaash"/>
    <x v="0"/>
    <x v="1"/>
    <x v="2"/>
    <n v="5"/>
    <n v="251"/>
    <x v="580"/>
    <n v="1"/>
  </r>
  <r>
    <s v="ORD993"/>
    <d v="2024-06-06T00:00:00"/>
    <s v="CUST154"/>
    <s v="Abhikam"/>
    <x v="0"/>
    <x v="0"/>
    <x v="3"/>
    <n v="5"/>
    <n v="272"/>
    <x v="435"/>
    <n v="1"/>
  </r>
  <r>
    <s v="ORD994"/>
    <d v="2024-05-11T00:00:00"/>
    <s v="CUST168"/>
    <s v="Aairathan"/>
    <x v="0"/>
    <x v="2"/>
    <x v="7"/>
    <n v="1"/>
    <n v="12"/>
    <x v="581"/>
    <n v="1"/>
  </r>
  <r>
    <s v="ORD995"/>
    <d v="2024-02-26T00:00:00"/>
    <s v="CUST065"/>
    <s v="Abbott"/>
    <x v="1"/>
    <x v="0"/>
    <x v="3"/>
    <n v="3"/>
    <n v="435"/>
    <x v="582"/>
    <n v="1"/>
  </r>
  <r>
    <s v="ORD996"/>
    <d v="2024-06-08T00:00:00"/>
    <s v="CUST046"/>
    <s v="Aadarshanan"/>
    <x v="1"/>
    <x v="0"/>
    <x v="0"/>
    <n v="2"/>
    <n v="333"/>
    <x v="583"/>
    <n v="1"/>
  </r>
  <r>
    <s v="ORD997"/>
    <d v="2024-08-11T00:00:00"/>
    <s v="CUST047"/>
    <s v="Aathangan"/>
    <x v="1"/>
    <x v="0"/>
    <x v="0"/>
    <n v="2"/>
    <n v="202"/>
    <x v="128"/>
    <n v="1"/>
  </r>
  <r>
    <s v="ORD998"/>
    <d v="2024-07-25T00:00:00"/>
    <s v="CUST194"/>
    <s v="Aavi"/>
    <x v="1"/>
    <x v="2"/>
    <x v="7"/>
    <n v="3"/>
    <n v="29"/>
    <x v="320"/>
    <n v="1"/>
  </r>
  <r>
    <s v="ORD999"/>
    <d v="2024-05-28T00:00:00"/>
    <s v="CUST085"/>
    <s v="Abhranila"/>
    <x v="0"/>
    <x v="2"/>
    <x v="7"/>
    <n v="1"/>
    <n v="37"/>
    <x v="362"/>
    <n v="1"/>
  </r>
  <r>
    <s v="ORD1000"/>
    <d v="2024-01-28T00:00:00"/>
    <s v="CUST478"/>
    <s v="Aanandaswarup"/>
    <x v="1"/>
    <x v="2"/>
    <x v="6"/>
    <n v="2"/>
    <n v="37"/>
    <x v="7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A93027-1E21-4FD7-B066-82E2E79C3B91}" name="PivotTable3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Top 5 products">
  <location ref="G5:H11" firstHeaderRow="1" firstDataRow="1" firstDataCol="1"/>
  <pivotFields count="11">
    <pivotField showAll="0"/>
    <pivotField numFmtId="14" showAll="0"/>
    <pivotField showAll="0"/>
    <pivotField showAll="0"/>
    <pivotField showAll="0"/>
    <pivotField showAll="0">
      <items count="4">
        <item x="2"/>
        <item x="0"/>
        <item x="1"/>
        <item t="default"/>
      </items>
    </pivotField>
    <pivotField axis="axisRow" showAll="0" measureFilter="1" sortType="descending">
      <items count="10">
        <item x="6"/>
        <item x="5"/>
        <item x="8"/>
        <item x="0"/>
        <item x="3"/>
        <item x="2"/>
        <item x="4"/>
        <item x="7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6"/>
  </rowFields>
  <rowItems count="6">
    <i>
      <x v="8"/>
    </i>
    <i>
      <x v="4"/>
    </i>
    <i>
      <x v="3"/>
    </i>
    <i>
      <x v="1"/>
    </i>
    <i>
      <x v="2"/>
    </i>
    <i t="grand">
      <x/>
    </i>
  </rowItems>
  <colItems count="1">
    <i/>
  </colItems>
  <dataFields count="1">
    <dataField name="Sum of 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6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F9748-6DB2-4FCC-AEB0-759B76C8B5C8}" name="PivotTable2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es By Segment">
  <location ref="D5:E8" firstHeaderRow="1" firstDataRow="1" firstDataCol="1"/>
  <pivotFields count="11">
    <pivotField showAll="0"/>
    <pivotField numFmtId="14"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dataField="1" showAll="0">
      <items count="585">
        <item x="82"/>
        <item x="581"/>
        <item x="116"/>
        <item x="231"/>
        <item x="461"/>
        <item x="68"/>
        <item x="113"/>
        <item x="23"/>
        <item x="78"/>
        <item x="166"/>
        <item x="404"/>
        <item x="84"/>
        <item x="6"/>
        <item x="189"/>
        <item x="360"/>
        <item x="24"/>
        <item x="579"/>
        <item x="574"/>
        <item x="12"/>
        <item x="226"/>
        <item x="326"/>
        <item x="13"/>
        <item x="362"/>
        <item x="403"/>
        <item x="210"/>
        <item x="247"/>
        <item x="190"/>
        <item x="566"/>
        <item x="83"/>
        <item x="212"/>
        <item x="227"/>
        <item x="434"/>
        <item x="154"/>
        <item x="215"/>
        <item x="193"/>
        <item x="117"/>
        <item x="229"/>
        <item x="79"/>
        <item x="51"/>
        <item x="63"/>
        <item x="112"/>
        <item x="572"/>
        <item x="246"/>
        <item x="31"/>
        <item x="47"/>
        <item x="11"/>
        <item x="71"/>
        <item x="183"/>
        <item x="119"/>
        <item x="393"/>
        <item x="203"/>
        <item x="133"/>
        <item x="97"/>
        <item x="395"/>
        <item x="320"/>
        <item x="148"/>
        <item x="214"/>
        <item x="58"/>
        <item x="433"/>
        <item x="34"/>
        <item x="372"/>
        <item x="475"/>
        <item x="441"/>
        <item x="69"/>
        <item x="61"/>
        <item x="96"/>
        <item x="143"/>
        <item x="450"/>
        <item x="205"/>
        <item x="45"/>
        <item x="171"/>
        <item x="569"/>
        <item x="480"/>
        <item x="173"/>
        <item x="122"/>
        <item x="406"/>
        <item x="219"/>
        <item x="178"/>
        <item x="104"/>
        <item x="123"/>
        <item x="73"/>
        <item x="271"/>
        <item x="426"/>
        <item x="248"/>
        <item x="52"/>
        <item x="191"/>
        <item x="59"/>
        <item x="92"/>
        <item x="88"/>
        <item x="293"/>
        <item x="120"/>
        <item x="153"/>
        <item x="4"/>
        <item x="303"/>
        <item x="312"/>
        <item x="202"/>
        <item x="451"/>
        <item x="132"/>
        <item x="358"/>
        <item x="546"/>
        <item x="67"/>
        <item x="421"/>
        <item x="415"/>
        <item x="118"/>
        <item x="41"/>
        <item x="217"/>
        <item x="257"/>
        <item x="347"/>
        <item x="502"/>
        <item x="244"/>
        <item x="261"/>
        <item x="536"/>
        <item x="35"/>
        <item x="18"/>
        <item x="549"/>
        <item x="440"/>
        <item x="21"/>
        <item x="553"/>
        <item x="387"/>
        <item x="557"/>
        <item x="423"/>
        <item x="463"/>
        <item x="516"/>
        <item x="131"/>
        <item x="195"/>
        <item x="484"/>
        <item x="548"/>
        <item x="571"/>
        <item x="169"/>
        <item x="262"/>
        <item x="420"/>
        <item x="26"/>
        <item x="428"/>
        <item x="389"/>
        <item x="384"/>
        <item x="365"/>
        <item x="277"/>
        <item x="182"/>
        <item x="336"/>
        <item x="488"/>
        <item x="304"/>
        <item x="74"/>
        <item x="283"/>
        <item x="144"/>
        <item x="253"/>
        <item x="184"/>
        <item x="379"/>
        <item x="27"/>
        <item x="146"/>
        <item x="446"/>
        <item x="255"/>
        <item x="368"/>
        <item x="266"/>
        <item x="208"/>
        <item x="32"/>
        <item x="159"/>
        <item x="121"/>
        <item x="211"/>
        <item x="466"/>
        <item x="457"/>
        <item x="188"/>
        <item x="207"/>
        <item x="311"/>
        <item x="313"/>
        <item x="575"/>
        <item x="542"/>
        <item x="417"/>
        <item x="424"/>
        <item x="473"/>
        <item x="481"/>
        <item x="17"/>
        <item x="8"/>
        <item x="3"/>
        <item x="476"/>
        <item x="568"/>
        <item x="408"/>
        <item x="562"/>
        <item x="264"/>
        <item x="152"/>
        <item x="361"/>
        <item x="373"/>
        <item x="140"/>
        <item x="160"/>
        <item x="419"/>
        <item x="544"/>
        <item x="518"/>
        <item x="161"/>
        <item x="222"/>
        <item x="252"/>
        <item x="339"/>
        <item x="196"/>
        <item x="50"/>
        <item x="530"/>
        <item x="75"/>
        <item x="72"/>
        <item x="282"/>
        <item x="505"/>
        <item x="396"/>
        <item x="563"/>
        <item x="330"/>
        <item x="414"/>
        <item x="40"/>
        <item x="445"/>
        <item x="391"/>
        <item x="204"/>
        <item x="489"/>
        <item x="98"/>
        <item x="102"/>
        <item x="332"/>
        <item x="2"/>
        <item x="464"/>
        <item x="534"/>
        <item x="250"/>
        <item x="268"/>
        <item x="128"/>
        <item x="317"/>
        <item x="291"/>
        <item x="5"/>
        <item x="223"/>
        <item x="508"/>
        <item x="521"/>
        <item x="431"/>
        <item x="492"/>
        <item x="576"/>
        <item x="564"/>
        <item x="468"/>
        <item x="260"/>
        <item x="30"/>
        <item x="552"/>
        <item x="162"/>
        <item x="91"/>
        <item x="506"/>
        <item x="519"/>
        <item x="130"/>
        <item x="538"/>
        <item x="175"/>
        <item x="180"/>
        <item x="93"/>
        <item x="124"/>
        <item x="460"/>
        <item x="245"/>
        <item x="409"/>
        <item x="515"/>
        <item x="413"/>
        <item x="243"/>
        <item x="240"/>
        <item x="9"/>
        <item x="525"/>
        <item x="103"/>
        <item x="412"/>
        <item x="535"/>
        <item x="527"/>
        <item x="225"/>
        <item x="511"/>
        <item x="186"/>
        <item x="115"/>
        <item x="465"/>
        <item x="301"/>
        <item x="62"/>
        <item x="280"/>
        <item x="272"/>
        <item x="267"/>
        <item x="416"/>
        <item x="493"/>
        <item x="437"/>
        <item x="224"/>
        <item x="249"/>
        <item x="127"/>
        <item x="545"/>
        <item x="275"/>
        <item x="199"/>
        <item x="1"/>
        <item x="540"/>
        <item x="513"/>
        <item x="355"/>
        <item x="390"/>
        <item x="232"/>
        <item x="378"/>
        <item x="556"/>
        <item x="354"/>
        <item x="176"/>
        <item x="281"/>
        <item x="236"/>
        <item x="64"/>
        <item x="165"/>
        <item x="163"/>
        <item x="329"/>
        <item x="197"/>
        <item x="529"/>
        <item x="558"/>
        <item x="309"/>
        <item x="76"/>
        <item x="276"/>
        <item x="454"/>
        <item x="164"/>
        <item x="537"/>
        <item x="400"/>
        <item x="357"/>
        <item x="66"/>
        <item x="350"/>
        <item x="134"/>
        <item x="167"/>
        <item x="462"/>
        <item x="137"/>
        <item x="551"/>
        <item x="101"/>
        <item x="531"/>
        <item x="402"/>
        <item x="0"/>
        <item x="397"/>
        <item x="198"/>
        <item x="334"/>
        <item x="135"/>
        <item x="577"/>
        <item x="305"/>
        <item x="346"/>
        <item x="583"/>
        <item x="174"/>
        <item x="524"/>
        <item x="472"/>
        <item x="14"/>
        <item x="265"/>
        <item x="500"/>
        <item x="322"/>
        <item x="510"/>
        <item x="168"/>
        <item x="94"/>
        <item x="444"/>
        <item x="298"/>
        <item x="349"/>
        <item x="194"/>
        <item x="149"/>
        <item x="319"/>
        <item x="471"/>
        <item x="81"/>
        <item x="235"/>
        <item x="49"/>
        <item x="201"/>
        <item x="520"/>
        <item x="70"/>
        <item x="447"/>
        <item x="241"/>
        <item x="158"/>
        <item x="181"/>
        <item x="430"/>
        <item x="498"/>
        <item x="491"/>
        <item x="486"/>
        <item x="392"/>
        <item x="206"/>
        <item x="407"/>
        <item x="449"/>
        <item x="321"/>
        <item x="560"/>
        <item x="172"/>
        <item x="259"/>
        <item x="7"/>
        <item x="425"/>
        <item x="142"/>
        <item x="533"/>
        <item x="432"/>
        <item x="77"/>
        <item x="316"/>
        <item x="366"/>
        <item x="478"/>
        <item x="401"/>
        <item x="388"/>
        <item x="307"/>
        <item x="356"/>
        <item x="559"/>
        <item x="145"/>
        <item x="179"/>
        <item x="37"/>
        <item x="138"/>
        <item x="310"/>
        <item x="410"/>
        <item x="300"/>
        <item x="325"/>
        <item x="192"/>
        <item x="100"/>
        <item x="239"/>
        <item x="151"/>
        <item x="364"/>
        <item x="110"/>
        <item x="289"/>
        <item x="517"/>
        <item x="285"/>
        <item x="53"/>
        <item x="522"/>
        <item x="470"/>
        <item x="274"/>
        <item x="106"/>
        <item x="367"/>
        <item x="139"/>
        <item x="43"/>
        <item x="29"/>
        <item x="323"/>
        <item x="383"/>
        <item x="314"/>
        <item x="89"/>
        <item x="375"/>
        <item x="487"/>
        <item x="385"/>
        <item x="80"/>
        <item x="55"/>
        <item x="263"/>
        <item x="567"/>
        <item x="573"/>
        <item x="108"/>
        <item x="86"/>
        <item x="270"/>
        <item x="429"/>
        <item x="295"/>
        <item x="38"/>
        <item x="111"/>
        <item x="213"/>
        <item x="269"/>
        <item x="251"/>
        <item x="523"/>
        <item x="278"/>
        <item x="512"/>
        <item x="543"/>
        <item x="85"/>
        <item x="380"/>
        <item x="504"/>
        <item x="411"/>
        <item x="136"/>
        <item x="371"/>
        <item x="532"/>
        <item x="105"/>
        <item x="254"/>
        <item x="39"/>
        <item x="351"/>
        <item x="109"/>
        <item x="306"/>
        <item x="299"/>
        <item x="90"/>
        <item x="238"/>
        <item x="443"/>
        <item x="324"/>
        <item x="343"/>
        <item x="405"/>
        <item x="490"/>
        <item x="359"/>
        <item x="187"/>
        <item x="386"/>
        <item x="287"/>
        <item x="467"/>
        <item x="338"/>
        <item x="554"/>
        <item x="344"/>
        <item x="54"/>
        <item x="230"/>
        <item x="273"/>
        <item x="200"/>
        <item x="496"/>
        <item x="141"/>
        <item x="370"/>
        <item x="292"/>
        <item x="228"/>
        <item x="333"/>
        <item x="44"/>
        <item x="233"/>
        <item x="288"/>
        <item x="290"/>
        <item x="503"/>
        <item x="221"/>
        <item x="308"/>
        <item x="448"/>
        <item x="331"/>
        <item x="580"/>
        <item x="216"/>
        <item x="477"/>
        <item x="28"/>
        <item x="95"/>
        <item x="382"/>
        <item x="418"/>
        <item x="25"/>
        <item x="10"/>
        <item x="20"/>
        <item x="582"/>
        <item x="284"/>
        <item x="509"/>
        <item x="125"/>
        <item x="369"/>
        <item x="455"/>
        <item x="561"/>
        <item x="497"/>
        <item x="514"/>
        <item x="435"/>
        <item x="15"/>
        <item x="129"/>
        <item x="327"/>
        <item x="337"/>
        <item x="427"/>
        <item x="150"/>
        <item x="528"/>
        <item x="302"/>
        <item x="318"/>
        <item x="499"/>
        <item x="381"/>
        <item x="482"/>
        <item x="507"/>
        <item x="345"/>
        <item x="377"/>
        <item x="256"/>
        <item x="294"/>
        <item x="398"/>
        <item x="286"/>
        <item x="56"/>
        <item x="394"/>
        <item x="335"/>
        <item x="342"/>
        <item x="555"/>
        <item x="438"/>
        <item x="42"/>
        <item x="456"/>
        <item x="157"/>
        <item x="341"/>
        <item x="479"/>
        <item x="485"/>
        <item x="570"/>
        <item x="422"/>
        <item x="315"/>
        <item x="442"/>
        <item x="501"/>
        <item x="469"/>
        <item x="177"/>
        <item x="436"/>
        <item x="22"/>
        <item x="237"/>
        <item x="107"/>
        <item x="258"/>
        <item x="550"/>
        <item x="452"/>
        <item x="495"/>
        <item x="578"/>
        <item x="565"/>
        <item x="541"/>
        <item x="155"/>
        <item x="539"/>
        <item x="156"/>
        <item x="126"/>
        <item x="353"/>
        <item x="459"/>
        <item x="46"/>
        <item x="234"/>
        <item x="114"/>
        <item x="363"/>
        <item x="458"/>
        <item x="48"/>
        <item x="399"/>
        <item x="374"/>
        <item x="16"/>
        <item x="99"/>
        <item x="33"/>
        <item x="297"/>
        <item x="474"/>
        <item x="170"/>
        <item x="547"/>
        <item x="348"/>
        <item x="242"/>
        <item x="65"/>
        <item x="87"/>
        <item x="60"/>
        <item x="453"/>
        <item x="36"/>
        <item x="352"/>
        <item x="494"/>
        <item x="185"/>
        <item x="57"/>
        <item x="376"/>
        <item x="218"/>
        <item x="526"/>
        <item x="147"/>
        <item x="483"/>
        <item x="19"/>
        <item x="209"/>
        <item x="296"/>
        <item x="328"/>
        <item x="340"/>
        <item x="439"/>
        <item x="220"/>
        <item x="279"/>
        <item t="default"/>
      </items>
    </pivotField>
    <pivotField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um of 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887AA9-EC22-4036-946E-9FCBB31B23A5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Sales By Category">
  <location ref="A5:B9" firstHeaderRow="1" firstDataRow="1" firstDataCol="1"/>
  <pivotFields count="11">
    <pivotField showAll="0"/>
    <pivotField numFmtId="14"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 Total Sales" fld="9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1"/>
  <sheetViews>
    <sheetView workbookViewId="0">
      <selection sqref="A1:K1001"/>
    </sheetView>
  </sheetViews>
  <sheetFormatPr defaultRowHeight="14.4" x14ac:dyDescent="0.3"/>
  <cols>
    <col min="1" max="1" width="8.6640625" bestFit="1" customWidth="1"/>
    <col min="2" max="2" width="10.33203125" bestFit="1" customWidth="1"/>
    <col min="3" max="3" width="11.109375" bestFit="1" customWidth="1"/>
    <col min="4" max="4" width="15.77734375" bestFit="1" customWidth="1"/>
    <col min="5" max="5" width="9.33203125" bestFit="1" customWidth="1"/>
    <col min="6" max="6" width="15" bestFit="1" customWidth="1"/>
    <col min="7" max="7" width="12.6640625" bestFit="1" customWidth="1"/>
    <col min="8" max="8" width="8" bestFit="1" customWidth="1"/>
    <col min="10" max="10" width="10.21875" bestFit="1" customWidth="1"/>
    <col min="11" max="11" width="22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2009</v>
      </c>
    </row>
    <row r="2" spans="1:11" x14ac:dyDescent="0.3">
      <c r="A2" t="s">
        <v>10</v>
      </c>
      <c r="B2" s="1">
        <v>45292</v>
      </c>
      <c r="C2" t="s">
        <v>1010</v>
      </c>
      <c r="D2" t="s">
        <v>1510</v>
      </c>
      <c r="E2" t="s">
        <v>1991</v>
      </c>
      <c r="F2" t="s">
        <v>1992</v>
      </c>
      <c r="G2" t="s">
        <v>1993</v>
      </c>
      <c r="H2">
        <v>2</v>
      </c>
      <c r="I2">
        <v>318</v>
      </c>
      <c r="J2">
        <v>636</v>
      </c>
      <c r="K2">
        <f>COUNTIF(C2:C1001,C2)</f>
        <v>3</v>
      </c>
    </row>
    <row r="3" spans="1:11" x14ac:dyDescent="0.3">
      <c r="A3" t="s">
        <v>11</v>
      </c>
      <c r="B3" s="1">
        <v>45293</v>
      </c>
      <c r="C3" t="s">
        <v>1011</v>
      </c>
      <c r="D3" t="s">
        <v>1511</v>
      </c>
      <c r="E3" t="s">
        <v>1994</v>
      </c>
      <c r="F3" t="s">
        <v>1992</v>
      </c>
      <c r="G3" t="s">
        <v>1993</v>
      </c>
      <c r="H3">
        <v>2</v>
      </c>
      <c r="I3">
        <v>268</v>
      </c>
      <c r="J3">
        <v>536</v>
      </c>
      <c r="K3">
        <f t="shared" ref="K3:K66" si="0">COUNTIF(C3:C1002,C3)</f>
        <v>2</v>
      </c>
    </row>
    <row r="4" spans="1:11" x14ac:dyDescent="0.3">
      <c r="A4" t="s">
        <v>12</v>
      </c>
      <c r="B4" s="1">
        <v>45294</v>
      </c>
      <c r="C4" t="s">
        <v>1012</v>
      </c>
      <c r="D4" t="s">
        <v>1512</v>
      </c>
      <c r="E4" t="s">
        <v>1994</v>
      </c>
      <c r="F4" t="s">
        <v>1992</v>
      </c>
      <c r="G4" t="s">
        <v>1995</v>
      </c>
      <c r="H4">
        <v>1</v>
      </c>
      <c r="I4">
        <v>396</v>
      </c>
      <c r="J4">
        <v>396</v>
      </c>
      <c r="K4">
        <f t="shared" si="0"/>
        <v>2</v>
      </c>
    </row>
    <row r="5" spans="1:11" x14ac:dyDescent="0.3">
      <c r="A5" t="s">
        <v>13</v>
      </c>
      <c r="B5" s="1">
        <v>45295</v>
      </c>
      <c r="C5" t="s">
        <v>1013</v>
      </c>
      <c r="D5" t="s">
        <v>1513</v>
      </c>
      <c r="E5" t="s">
        <v>1994</v>
      </c>
      <c r="F5" t="s">
        <v>1992</v>
      </c>
      <c r="G5" t="s">
        <v>1995</v>
      </c>
      <c r="H5">
        <v>1</v>
      </c>
      <c r="I5">
        <v>302</v>
      </c>
      <c r="J5">
        <v>302</v>
      </c>
      <c r="K5">
        <f t="shared" si="0"/>
        <v>3</v>
      </c>
    </row>
    <row r="6" spans="1:11" x14ac:dyDescent="0.3">
      <c r="A6" t="s">
        <v>14</v>
      </c>
      <c r="B6" s="1">
        <v>45296</v>
      </c>
      <c r="C6" t="s">
        <v>1014</v>
      </c>
      <c r="D6" t="s">
        <v>1514</v>
      </c>
      <c r="E6" t="s">
        <v>1991</v>
      </c>
      <c r="F6" t="s">
        <v>1996</v>
      </c>
      <c r="G6" t="s">
        <v>1997</v>
      </c>
      <c r="H6">
        <v>1</v>
      </c>
      <c r="I6">
        <v>148</v>
      </c>
      <c r="J6">
        <v>148</v>
      </c>
      <c r="K6">
        <f t="shared" si="0"/>
        <v>2</v>
      </c>
    </row>
    <row r="7" spans="1:11" x14ac:dyDescent="0.3">
      <c r="A7" t="s">
        <v>15</v>
      </c>
      <c r="B7" s="1">
        <v>45297</v>
      </c>
      <c r="C7" t="s">
        <v>1015</v>
      </c>
      <c r="D7" t="s">
        <v>1514</v>
      </c>
      <c r="E7" t="s">
        <v>1994</v>
      </c>
      <c r="F7" t="s">
        <v>1992</v>
      </c>
      <c r="G7" t="s">
        <v>1998</v>
      </c>
      <c r="H7">
        <v>1</v>
      </c>
      <c r="I7">
        <v>408</v>
      </c>
      <c r="J7">
        <v>408</v>
      </c>
      <c r="K7">
        <f t="shared" si="0"/>
        <v>3</v>
      </c>
    </row>
    <row r="8" spans="1:11" x14ac:dyDescent="0.3">
      <c r="A8" t="s">
        <v>16</v>
      </c>
      <c r="B8" s="1">
        <v>45298</v>
      </c>
      <c r="C8" t="s">
        <v>1016</v>
      </c>
      <c r="D8" t="s">
        <v>1515</v>
      </c>
      <c r="E8" t="s">
        <v>1991</v>
      </c>
      <c r="F8" t="s">
        <v>1999</v>
      </c>
      <c r="G8" t="s">
        <v>2000</v>
      </c>
      <c r="H8">
        <v>2</v>
      </c>
      <c r="I8">
        <v>13</v>
      </c>
      <c r="J8">
        <v>26</v>
      </c>
      <c r="K8">
        <f t="shared" si="0"/>
        <v>2</v>
      </c>
    </row>
    <row r="9" spans="1:11" x14ac:dyDescent="0.3">
      <c r="A9" t="s">
        <v>17</v>
      </c>
      <c r="B9" s="1">
        <v>45299</v>
      </c>
      <c r="C9" t="s">
        <v>1017</v>
      </c>
      <c r="D9" t="s">
        <v>1516</v>
      </c>
      <c r="E9" t="s">
        <v>1991</v>
      </c>
      <c r="F9" t="s">
        <v>1996</v>
      </c>
      <c r="G9" t="s">
        <v>2001</v>
      </c>
      <c r="H9">
        <v>5</v>
      </c>
      <c r="I9">
        <v>166</v>
      </c>
      <c r="J9">
        <v>830</v>
      </c>
      <c r="K9">
        <f t="shared" si="0"/>
        <v>3</v>
      </c>
    </row>
    <row r="10" spans="1:11" x14ac:dyDescent="0.3">
      <c r="A10" t="s">
        <v>18</v>
      </c>
      <c r="B10" s="1">
        <v>45300</v>
      </c>
      <c r="C10" t="s">
        <v>1018</v>
      </c>
      <c r="D10" t="s">
        <v>1517</v>
      </c>
      <c r="E10" t="s">
        <v>1994</v>
      </c>
      <c r="F10" t="s">
        <v>1992</v>
      </c>
      <c r="G10" t="s">
        <v>1995</v>
      </c>
      <c r="H10">
        <v>1</v>
      </c>
      <c r="I10">
        <v>299</v>
      </c>
      <c r="J10">
        <v>299</v>
      </c>
      <c r="K10">
        <f t="shared" si="0"/>
        <v>4</v>
      </c>
    </row>
    <row r="11" spans="1:11" x14ac:dyDescent="0.3">
      <c r="A11" t="s">
        <v>19</v>
      </c>
      <c r="B11" s="1">
        <v>45301</v>
      </c>
      <c r="C11" t="s">
        <v>1019</v>
      </c>
      <c r="D11" t="s">
        <v>1518</v>
      </c>
      <c r="E11" t="s">
        <v>1991</v>
      </c>
      <c r="F11" t="s">
        <v>1992</v>
      </c>
      <c r="G11" t="s">
        <v>1998</v>
      </c>
      <c r="H11">
        <v>1</v>
      </c>
      <c r="I11">
        <v>468</v>
      </c>
      <c r="J11">
        <v>468</v>
      </c>
      <c r="K11">
        <f t="shared" si="0"/>
        <v>1</v>
      </c>
    </row>
    <row r="12" spans="1:11" x14ac:dyDescent="0.3">
      <c r="A12" t="s">
        <v>20</v>
      </c>
      <c r="B12" s="1">
        <v>45302</v>
      </c>
      <c r="C12" t="s">
        <v>1020</v>
      </c>
      <c r="D12" t="s">
        <v>1519</v>
      </c>
      <c r="E12" t="s">
        <v>1994</v>
      </c>
      <c r="F12" t="s">
        <v>1992</v>
      </c>
      <c r="G12" t="s">
        <v>1995</v>
      </c>
      <c r="H12">
        <v>4</v>
      </c>
      <c r="I12">
        <v>325</v>
      </c>
      <c r="J12">
        <v>1300</v>
      </c>
      <c r="K12">
        <f t="shared" si="0"/>
        <v>2</v>
      </c>
    </row>
    <row r="13" spans="1:11" x14ac:dyDescent="0.3">
      <c r="A13" t="s">
        <v>21</v>
      </c>
      <c r="B13" s="1">
        <v>45303</v>
      </c>
      <c r="C13" t="s">
        <v>1021</v>
      </c>
      <c r="D13" t="s">
        <v>1520</v>
      </c>
      <c r="E13" t="s">
        <v>1994</v>
      </c>
      <c r="F13" t="s">
        <v>1999</v>
      </c>
      <c r="G13" t="s">
        <v>2000</v>
      </c>
      <c r="H13">
        <v>3</v>
      </c>
      <c r="I13">
        <v>24</v>
      </c>
      <c r="J13">
        <v>72</v>
      </c>
      <c r="K13">
        <f t="shared" si="0"/>
        <v>2</v>
      </c>
    </row>
    <row r="14" spans="1:11" x14ac:dyDescent="0.3">
      <c r="A14" t="s">
        <v>22</v>
      </c>
      <c r="B14" s="1">
        <v>45304</v>
      </c>
      <c r="C14" t="s">
        <v>1022</v>
      </c>
      <c r="D14" t="s">
        <v>1521</v>
      </c>
      <c r="E14" t="s">
        <v>1994</v>
      </c>
      <c r="F14" t="s">
        <v>1999</v>
      </c>
      <c r="G14" t="s">
        <v>2000</v>
      </c>
      <c r="H14">
        <v>3</v>
      </c>
      <c r="I14">
        <v>11</v>
      </c>
      <c r="J14">
        <v>33</v>
      </c>
      <c r="K14">
        <f t="shared" si="0"/>
        <v>1</v>
      </c>
    </row>
    <row r="15" spans="1:11" x14ac:dyDescent="0.3">
      <c r="A15" t="s">
        <v>23</v>
      </c>
      <c r="B15" s="1">
        <v>45305</v>
      </c>
      <c r="C15" t="s">
        <v>1023</v>
      </c>
      <c r="D15" t="s">
        <v>1522</v>
      </c>
      <c r="E15" t="s">
        <v>1994</v>
      </c>
      <c r="F15" t="s">
        <v>1999</v>
      </c>
      <c r="G15" t="s">
        <v>2002</v>
      </c>
      <c r="H15">
        <v>1</v>
      </c>
      <c r="I15">
        <v>36</v>
      </c>
      <c r="J15">
        <v>36</v>
      </c>
      <c r="K15">
        <f t="shared" si="0"/>
        <v>1</v>
      </c>
    </row>
    <row r="16" spans="1:11" x14ac:dyDescent="0.3">
      <c r="A16" t="s">
        <v>24</v>
      </c>
      <c r="B16" s="1">
        <v>45306</v>
      </c>
      <c r="C16" t="s">
        <v>1024</v>
      </c>
      <c r="D16" t="s">
        <v>1523</v>
      </c>
      <c r="E16" t="s">
        <v>1994</v>
      </c>
      <c r="F16" t="s">
        <v>1996</v>
      </c>
      <c r="G16" t="s">
        <v>1997</v>
      </c>
      <c r="H16">
        <v>5</v>
      </c>
      <c r="I16">
        <v>138</v>
      </c>
      <c r="J16">
        <v>690</v>
      </c>
      <c r="K16">
        <f t="shared" si="0"/>
        <v>1</v>
      </c>
    </row>
    <row r="17" spans="1:11" x14ac:dyDescent="0.3">
      <c r="A17" t="s">
        <v>25</v>
      </c>
      <c r="B17" s="1">
        <v>45307</v>
      </c>
      <c r="C17" t="s">
        <v>1025</v>
      </c>
      <c r="D17" t="s">
        <v>1524</v>
      </c>
      <c r="E17" t="s">
        <v>1991</v>
      </c>
      <c r="F17" t="s">
        <v>1992</v>
      </c>
      <c r="G17" t="s">
        <v>1998</v>
      </c>
      <c r="H17">
        <v>4</v>
      </c>
      <c r="I17">
        <v>342</v>
      </c>
      <c r="J17">
        <v>1368</v>
      </c>
      <c r="K17">
        <f t="shared" si="0"/>
        <v>3</v>
      </c>
    </row>
    <row r="18" spans="1:11" x14ac:dyDescent="0.3">
      <c r="A18" t="s">
        <v>26</v>
      </c>
      <c r="B18" s="1">
        <v>45308</v>
      </c>
      <c r="C18" t="s">
        <v>1026</v>
      </c>
      <c r="D18" t="s">
        <v>1525</v>
      </c>
      <c r="E18" t="s">
        <v>1994</v>
      </c>
      <c r="F18" t="s">
        <v>1992</v>
      </c>
      <c r="G18" t="s">
        <v>1995</v>
      </c>
      <c r="H18">
        <v>5</v>
      </c>
      <c r="I18">
        <v>384</v>
      </c>
      <c r="J18">
        <v>1920</v>
      </c>
      <c r="K18">
        <f t="shared" si="0"/>
        <v>1</v>
      </c>
    </row>
    <row r="19" spans="1:11" x14ac:dyDescent="0.3">
      <c r="A19" t="s">
        <v>27</v>
      </c>
      <c r="B19" s="1">
        <v>45309</v>
      </c>
      <c r="C19" t="s">
        <v>1027</v>
      </c>
      <c r="D19" t="s">
        <v>1526</v>
      </c>
      <c r="E19" t="s">
        <v>1994</v>
      </c>
      <c r="F19" t="s">
        <v>1996</v>
      </c>
      <c r="G19" t="s">
        <v>2001</v>
      </c>
      <c r="H19">
        <v>1</v>
      </c>
      <c r="I19">
        <v>298</v>
      </c>
      <c r="J19">
        <v>298</v>
      </c>
      <c r="K19">
        <f t="shared" si="0"/>
        <v>1</v>
      </c>
    </row>
    <row r="20" spans="1:11" x14ac:dyDescent="0.3">
      <c r="A20" t="s">
        <v>28</v>
      </c>
      <c r="B20" s="1">
        <v>45310</v>
      </c>
      <c r="C20" t="s">
        <v>1028</v>
      </c>
      <c r="D20" t="s">
        <v>1527</v>
      </c>
      <c r="E20" t="s">
        <v>1994</v>
      </c>
      <c r="F20" t="s">
        <v>1999</v>
      </c>
      <c r="G20" t="s">
        <v>2002</v>
      </c>
      <c r="H20">
        <v>4</v>
      </c>
      <c r="I20">
        <v>48</v>
      </c>
      <c r="J20">
        <v>192</v>
      </c>
      <c r="K20">
        <f t="shared" si="0"/>
        <v>1</v>
      </c>
    </row>
    <row r="21" spans="1:11" x14ac:dyDescent="0.3">
      <c r="A21" t="s">
        <v>29</v>
      </c>
      <c r="B21" s="1">
        <v>45311</v>
      </c>
      <c r="C21" t="s">
        <v>1029</v>
      </c>
      <c r="D21" t="s">
        <v>1528</v>
      </c>
      <c r="E21" t="s">
        <v>1994</v>
      </c>
      <c r="F21" t="s">
        <v>1992</v>
      </c>
      <c r="G21" t="s">
        <v>1995</v>
      </c>
      <c r="H21">
        <v>5</v>
      </c>
      <c r="I21">
        <v>481</v>
      </c>
      <c r="J21">
        <v>2405</v>
      </c>
      <c r="K21">
        <f t="shared" si="0"/>
        <v>2</v>
      </c>
    </row>
    <row r="22" spans="1:11" x14ac:dyDescent="0.3">
      <c r="A22" t="s">
        <v>30</v>
      </c>
      <c r="B22" s="1">
        <v>45312</v>
      </c>
      <c r="C22" t="s">
        <v>1030</v>
      </c>
      <c r="D22" t="s">
        <v>1529</v>
      </c>
      <c r="E22" t="s">
        <v>1991</v>
      </c>
      <c r="F22" t="s">
        <v>1992</v>
      </c>
      <c r="G22" t="s">
        <v>1993</v>
      </c>
      <c r="H22">
        <v>3</v>
      </c>
      <c r="I22">
        <v>434</v>
      </c>
      <c r="J22">
        <v>1302</v>
      </c>
      <c r="K22">
        <f t="shared" si="0"/>
        <v>3</v>
      </c>
    </row>
    <row r="23" spans="1:11" x14ac:dyDescent="0.3">
      <c r="A23" t="s">
        <v>31</v>
      </c>
      <c r="B23" s="1">
        <v>45313</v>
      </c>
      <c r="C23" t="s">
        <v>1031</v>
      </c>
      <c r="D23" t="s">
        <v>1530</v>
      </c>
      <c r="E23" t="s">
        <v>1994</v>
      </c>
      <c r="F23" t="s">
        <v>1999</v>
      </c>
      <c r="G23" t="s">
        <v>2002</v>
      </c>
      <c r="H23">
        <v>4</v>
      </c>
      <c r="I23">
        <v>49</v>
      </c>
      <c r="J23">
        <v>196</v>
      </c>
      <c r="K23">
        <f t="shared" si="0"/>
        <v>1</v>
      </c>
    </row>
    <row r="24" spans="1:11" x14ac:dyDescent="0.3">
      <c r="A24" t="s">
        <v>32</v>
      </c>
      <c r="B24" s="1">
        <v>45314</v>
      </c>
      <c r="C24" t="s">
        <v>1032</v>
      </c>
      <c r="D24" t="s">
        <v>1531</v>
      </c>
      <c r="E24" t="s">
        <v>1991</v>
      </c>
      <c r="F24" t="s">
        <v>1992</v>
      </c>
      <c r="G24" t="s">
        <v>1998</v>
      </c>
      <c r="H24">
        <v>4</v>
      </c>
      <c r="I24">
        <v>404</v>
      </c>
      <c r="J24">
        <v>1616</v>
      </c>
      <c r="K24">
        <f t="shared" si="0"/>
        <v>1</v>
      </c>
    </row>
    <row r="25" spans="1:11" x14ac:dyDescent="0.3">
      <c r="A25" t="s">
        <v>33</v>
      </c>
      <c r="B25" s="1">
        <v>45315</v>
      </c>
      <c r="C25" t="s">
        <v>1033</v>
      </c>
      <c r="D25" t="s">
        <v>1532</v>
      </c>
      <c r="E25" t="s">
        <v>1991</v>
      </c>
      <c r="F25" t="s">
        <v>1999</v>
      </c>
      <c r="G25" t="s">
        <v>2003</v>
      </c>
      <c r="H25">
        <v>1</v>
      </c>
      <c r="I25">
        <v>18</v>
      </c>
      <c r="J25">
        <v>18</v>
      </c>
      <c r="K25">
        <f t="shared" si="0"/>
        <v>2</v>
      </c>
    </row>
    <row r="26" spans="1:11" x14ac:dyDescent="0.3">
      <c r="A26" t="s">
        <v>34</v>
      </c>
      <c r="B26" s="1">
        <v>45316</v>
      </c>
      <c r="C26" t="s">
        <v>1034</v>
      </c>
      <c r="D26" t="s">
        <v>1533</v>
      </c>
      <c r="E26" t="s">
        <v>1994</v>
      </c>
      <c r="F26" t="s">
        <v>1999</v>
      </c>
      <c r="G26" t="s">
        <v>2000</v>
      </c>
      <c r="H26">
        <v>3</v>
      </c>
      <c r="I26">
        <v>10</v>
      </c>
      <c r="J26">
        <v>30</v>
      </c>
      <c r="K26">
        <f t="shared" si="0"/>
        <v>2</v>
      </c>
    </row>
    <row r="27" spans="1:11" x14ac:dyDescent="0.3">
      <c r="A27" t="s">
        <v>35</v>
      </c>
      <c r="B27" s="1">
        <v>45317</v>
      </c>
      <c r="C27" t="s">
        <v>1035</v>
      </c>
      <c r="D27" t="s">
        <v>1534</v>
      </c>
      <c r="E27" t="s">
        <v>1994</v>
      </c>
      <c r="F27" t="s">
        <v>1992</v>
      </c>
      <c r="G27" t="s">
        <v>1998</v>
      </c>
      <c r="H27">
        <v>4</v>
      </c>
      <c r="I27">
        <v>319</v>
      </c>
      <c r="J27">
        <v>1276</v>
      </c>
      <c r="K27">
        <f t="shared" si="0"/>
        <v>2</v>
      </c>
    </row>
    <row r="28" spans="1:11" x14ac:dyDescent="0.3">
      <c r="A28" t="s">
        <v>36</v>
      </c>
      <c r="B28" s="1">
        <v>45318</v>
      </c>
      <c r="C28" t="s">
        <v>1036</v>
      </c>
      <c r="D28" t="s">
        <v>1535</v>
      </c>
      <c r="E28" t="s">
        <v>1991</v>
      </c>
      <c r="F28" t="s">
        <v>1999</v>
      </c>
      <c r="G28" t="s">
        <v>2000</v>
      </c>
      <c r="H28">
        <v>5</v>
      </c>
      <c r="I28">
        <v>45</v>
      </c>
      <c r="J28">
        <v>225</v>
      </c>
      <c r="K28">
        <f t="shared" si="0"/>
        <v>1</v>
      </c>
    </row>
    <row r="29" spans="1:11" x14ac:dyDescent="0.3">
      <c r="A29" t="s">
        <v>37</v>
      </c>
      <c r="B29" s="1">
        <v>45319</v>
      </c>
      <c r="C29" t="s">
        <v>1037</v>
      </c>
      <c r="D29" t="s">
        <v>1536</v>
      </c>
      <c r="E29" t="s">
        <v>1991</v>
      </c>
      <c r="F29" t="s">
        <v>1992</v>
      </c>
      <c r="G29" t="s">
        <v>1995</v>
      </c>
      <c r="H29">
        <v>1</v>
      </c>
      <c r="I29">
        <v>247</v>
      </c>
      <c r="J29">
        <v>247</v>
      </c>
      <c r="K29">
        <f t="shared" si="0"/>
        <v>4</v>
      </c>
    </row>
    <row r="30" spans="1:11" x14ac:dyDescent="0.3">
      <c r="A30" t="s">
        <v>38</v>
      </c>
      <c r="B30" s="1">
        <v>45320</v>
      </c>
      <c r="C30" t="s">
        <v>1038</v>
      </c>
      <c r="D30" t="s">
        <v>1536</v>
      </c>
      <c r="E30" t="s">
        <v>1994</v>
      </c>
      <c r="F30" t="s">
        <v>1992</v>
      </c>
      <c r="G30" t="s">
        <v>1995</v>
      </c>
      <c r="H30">
        <v>4</v>
      </c>
      <c r="I30">
        <v>316</v>
      </c>
      <c r="J30">
        <v>1264</v>
      </c>
      <c r="K30">
        <f t="shared" si="0"/>
        <v>1</v>
      </c>
    </row>
    <row r="31" spans="1:11" x14ac:dyDescent="0.3">
      <c r="A31" t="s">
        <v>39</v>
      </c>
      <c r="B31" s="1">
        <v>45321</v>
      </c>
      <c r="C31" t="s">
        <v>1039</v>
      </c>
      <c r="D31" t="s">
        <v>1537</v>
      </c>
      <c r="E31" t="s">
        <v>1994</v>
      </c>
      <c r="F31" t="s">
        <v>1996</v>
      </c>
      <c r="G31" t="s">
        <v>2001</v>
      </c>
      <c r="H31">
        <v>3</v>
      </c>
      <c r="I31">
        <v>156</v>
      </c>
      <c r="J31">
        <v>468</v>
      </c>
      <c r="K31">
        <f t="shared" si="0"/>
        <v>1</v>
      </c>
    </row>
    <row r="32" spans="1:11" x14ac:dyDescent="0.3">
      <c r="A32" t="s">
        <v>40</v>
      </c>
      <c r="B32" s="1">
        <v>45322</v>
      </c>
      <c r="C32" t="s">
        <v>1040</v>
      </c>
      <c r="D32" t="s">
        <v>1538</v>
      </c>
      <c r="E32" t="s">
        <v>1991</v>
      </c>
      <c r="F32" t="s">
        <v>1992</v>
      </c>
      <c r="G32" t="s">
        <v>1998</v>
      </c>
      <c r="H32">
        <v>2</v>
      </c>
      <c r="I32">
        <v>475</v>
      </c>
      <c r="J32">
        <v>950</v>
      </c>
      <c r="K32">
        <f t="shared" si="0"/>
        <v>1</v>
      </c>
    </row>
    <row r="33" spans="1:11" x14ac:dyDescent="0.3">
      <c r="A33" t="s">
        <v>41</v>
      </c>
      <c r="B33" s="1">
        <v>45323</v>
      </c>
      <c r="C33" t="s">
        <v>1041</v>
      </c>
      <c r="D33" t="s">
        <v>1539</v>
      </c>
      <c r="E33" t="s">
        <v>1994</v>
      </c>
      <c r="F33" t="s">
        <v>1996</v>
      </c>
      <c r="G33" t="s">
        <v>2004</v>
      </c>
      <c r="H33">
        <v>3</v>
      </c>
      <c r="I33">
        <v>143</v>
      </c>
      <c r="J33">
        <v>429</v>
      </c>
      <c r="K33">
        <f t="shared" si="0"/>
        <v>2</v>
      </c>
    </row>
    <row r="34" spans="1:11" x14ac:dyDescent="0.3">
      <c r="A34" t="s">
        <v>42</v>
      </c>
      <c r="B34" s="1">
        <v>45324</v>
      </c>
      <c r="C34" t="s">
        <v>1042</v>
      </c>
      <c r="D34" t="s">
        <v>1540</v>
      </c>
      <c r="E34" t="s">
        <v>1994</v>
      </c>
      <c r="F34" t="s">
        <v>1996</v>
      </c>
      <c r="G34" t="s">
        <v>2001</v>
      </c>
      <c r="H34">
        <v>3</v>
      </c>
      <c r="I34">
        <v>230</v>
      </c>
      <c r="J34">
        <v>690</v>
      </c>
      <c r="K34">
        <f t="shared" si="0"/>
        <v>2</v>
      </c>
    </row>
    <row r="35" spans="1:11" x14ac:dyDescent="0.3">
      <c r="A35" t="s">
        <v>43</v>
      </c>
      <c r="B35" s="1">
        <v>45325</v>
      </c>
      <c r="C35" t="s">
        <v>1043</v>
      </c>
      <c r="D35" t="s">
        <v>1541</v>
      </c>
      <c r="E35" t="s">
        <v>1991</v>
      </c>
      <c r="F35" t="s">
        <v>1999</v>
      </c>
      <c r="G35" t="s">
        <v>2000</v>
      </c>
      <c r="H35">
        <v>3</v>
      </c>
      <c r="I35">
        <v>23</v>
      </c>
      <c r="J35">
        <v>69</v>
      </c>
      <c r="K35">
        <f t="shared" si="0"/>
        <v>3</v>
      </c>
    </row>
    <row r="36" spans="1:11" x14ac:dyDescent="0.3">
      <c r="A36" t="s">
        <v>44</v>
      </c>
      <c r="B36" s="1">
        <v>45326</v>
      </c>
      <c r="C36" t="s">
        <v>1044</v>
      </c>
      <c r="D36" t="s">
        <v>1542</v>
      </c>
      <c r="E36" t="s">
        <v>1991</v>
      </c>
      <c r="F36" t="s">
        <v>1992</v>
      </c>
      <c r="G36" t="s">
        <v>1993</v>
      </c>
      <c r="H36">
        <v>1</v>
      </c>
      <c r="I36">
        <v>259</v>
      </c>
      <c r="J36">
        <v>259</v>
      </c>
      <c r="K36">
        <f t="shared" si="0"/>
        <v>2</v>
      </c>
    </row>
    <row r="37" spans="1:11" x14ac:dyDescent="0.3">
      <c r="A37" t="s">
        <v>45</v>
      </c>
      <c r="B37" s="1">
        <v>45327</v>
      </c>
      <c r="C37" t="s">
        <v>1045</v>
      </c>
      <c r="D37" t="s">
        <v>1543</v>
      </c>
      <c r="E37" t="s">
        <v>1994</v>
      </c>
      <c r="F37" t="s">
        <v>1992</v>
      </c>
      <c r="G37" t="s">
        <v>1995</v>
      </c>
      <c r="H37">
        <v>4</v>
      </c>
      <c r="I37">
        <v>493</v>
      </c>
      <c r="J37">
        <v>1972</v>
      </c>
      <c r="K37">
        <f t="shared" si="0"/>
        <v>2</v>
      </c>
    </row>
    <row r="38" spans="1:11" x14ac:dyDescent="0.3">
      <c r="A38" t="s">
        <v>46</v>
      </c>
      <c r="B38" s="1">
        <v>45328</v>
      </c>
      <c r="C38" t="s">
        <v>1046</v>
      </c>
      <c r="D38" t="s">
        <v>1544</v>
      </c>
      <c r="E38" t="s">
        <v>1991</v>
      </c>
      <c r="F38" t="s">
        <v>1999</v>
      </c>
      <c r="G38" t="s">
        <v>2002</v>
      </c>
      <c r="H38">
        <v>4</v>
      </c>
      <c r="I38">
        <v>24</v>
      </c>
      <c r="J38">
        <v>96</v>
      </c>
      <c r="K38">
        <f t="shared" si="0"/>
        <v>1</v>
      </c>
    </row>
    <row r="39" spans="1:11" x14ac:dyDescent="0.3">
      <c r="A39" t="s">
        <v>47</v>
      </c>
      <c r="B39" s="1">
        <v>45329</v>
      </c>
      <c r="C39" t="s">
        <v>1047</v>
      </c>
      <c r="D39" t="s">
        <v>1545</v>
      </c>
      <c r="E39" t="s">
        <v>1991</v>
      </c>
      <c r="F39" t="s">
        <v>1999</v>
      </c>
      <c r="G39" t="s">
        <v>2000</v>
      </c>
      <c r="H39">
        <v>5</v>
      </c>
      <c r="I39">
        <v>38</v>
      </c>
      <c r="J39">
        <v>190</v>
      </c>
      <c r="K39">
        <f t="shared" si="0"/>
        <v>3</v>
      </c>
    </row>
    <row r="40" spans="1:11" x14ac:dyDescent="0.3">
      <c r="A40" t="s">
        <v>48</v>
      </c>
      <c r="B40" s="1">
        <v>45330</v>
      </c>
      <c r="C40" t="s">
        <v>1048</v>
      </c>
      <c r="D40" t="s">
        <v>1546</v>
      </c>
      <c r="E40" t="s">
        <v>1994</v>
      </c>
      <c r="F40" t="s">
        <v>1992</v>
      </c>
      <c r="G40" t="s">
        <v>1998</v>
      </c>
      <c r="H40">
        <v>5</v>
      </c>
      <c r="I40">
        <v>431</v>
      </c>
      <c r="J40">
        <v>2155</v>
      </c>
      <c r="K40">
        <f t="shared" si="0"/>
        <v>3</v>
      </c>
    </row>
    <row r="41" spans="1:11" x14ac:dyDescent="0.3">
      <c r="A41" t="s">
        <v>49</v>
      </c>
      <c r="B41" s="1">
        <v>45331</v>
      </c>
      <c r="C41" t="s">
        <v>1049</v>
      </c>
      <c r="D41" t="s">
        <v>1547</v>
      </c>
      <c r="E41" t="s">
        <v>1991</v>
      </c>
      <c r="F41" t="s">
        <v>1992</v>
      </c>
      <c r="G41" t="s">
        <v>1995</v>
      </c>
      <c r="H41">
        <v>3</v>
      </c>
      <c r="I41">
        <v>290</v>
      </c>
      <c r="J41">
        <v>870</v>
      </c>
      <c r="K41">
        <f t="shared" si="0"/>
        <v>2</v>
      </c>
    </row>
    <row r="42" spans="1:11" x14ac:dyDescent="0.3">
      <c r="A42" t="s">
        <v>50</v>
      </c>
      <c r="B42" s="1">
        <v>45332</v>
      </c>
      <c r="C42" t="s">
        <v>1050</v>
      </c>
      <c r="D42" t="s">
        <v>1548</v>
      </c>
      <c r="E42" t="s">
        <v>1991</v>
      </c>
      <c r="F42" t="s">
        <v>1992</v>
      </c>
      <c r="G42" t="s">
        <v>1993</v>
      </c>
      <c r="H42">
        <v>3</v>
      </c>
      <c r="I42">
        <v>338</v>
      </c>
      <c r="J42">
        <v>1014</v>
      </c>
      <c r="K42">
        <f t="shared" si="0"/>
        <v>1</v>
      </c>
    </row>
    <row r="43" spans="1:11" x14ac:dyDescent="0.3">
      <c r="A43" t="s">
        <v>51</v>
      </c>
      <c r="B43" s="1">
        <v>45333</v>
      </c>
      <c r="C43" t="s">
        <v>1051</v>
      </c>
      <c r="D43" t="s">
        <v>1549</v>
      </c>
      <c r="E43" t="s">
        <v>1994</v>
      </c>
      <c r="F43" t="s">
        <v>1992</v>
      </c>
      <c r="G43" t="s">
        <v>1995</v>
      </c>
      <c r="H43">
        <v>5</v>
      </c>
      <c r="I43">
        <v>220</v>
      </c>
      <c r="J43">
        <v>1100</v>
      </c>
      <c r="K43">
        <f t="shared" si="0"/>
        <v>2</v>
      </c>
    </row>
    <row r="44" spans="1:11" x14ac:dyDescent="0.3">
      <c r="A44" t="s">
        <v>52</v>
      </c>
      <c r="B44" s="1">
        <v>45334</v>
      </c>
      <c r="C44" t="s">
        <v>1052</v>
      </c>
      <c r="D44" t="s">
        <v>1550</v>
      </c>
      <c r="E44" t="s">
        <v>1994</v>
      </c>
      <c r="F44" t="s">
        <v>1992</v>
      </c>
      <c r="G44" t="s">
        <v>1995</v>
      </c>
      <c r="H44">
        <v>1</v>
      </c>
      <c r="I44">
        <v>380</v>
      </c>
      <c r="J44">
        <v>380</v>
      </c>
      <c r="K44">
        <f t="shared" si="0"/>
        <v>2</v>
      </c>
    </row>
    <row r="45" spans="1:11" x14ac:dyDescent="0.3">
      <c r="A45" t="s">
        <v>53</v>
      </c>
      <c r="B45" s="1">
        <v>45335</v>
      </c>
      <c r="C45" t="s">
        <v>1053</v>
      </c>
      <c r="D45" t="s">
        <v>1551</v>
      </c>
      <c r="E45" t="s">
        <v>1991</v>
      </c>
      <c r="F45" t="s">
        <v>1999</v>
      </c>
      <c r="G45" t="s">
        <v>2002</v>
      </c>
      <c r="H45">
        <v>4</v>
      </c>
      <c r="I45">
        <v>44</v>
      </c>
      <c r="J45">
        <v>176</v>
      </c>
      <c r="K45">
        <f t="shared" si="0"/>
        <v>2</v>
      </c>
    </row>
    <row r="46" spans="1:11" x14ac:dyDescent="0.3">
      <c r="A46" t="s">
        <v>54</v>
      </c>
      <c r="B46" s="1">
        <v>45336</v>
      </c>
      <c r="C46" t="s">
        <v>1054</v>
      </c>
      <c r="D46" t="s">
        <v>1552</v>
      </c>
      <c r="E46" t="s">
        <v>1994</v>
      </c>
      <c r="F46" t="s">
        <v>1992</v>
      </c>
      <c r="G46" t="s">
        <v>1998</v>
      </c>
      <c r="H46">
        <v>3</v>
      </c>
      <c r="I46">
        <v>499</v>
      </c>
      <c r="J46">
        <v>1497</v>
      </c>
      <c r="K46">
        <f t="shared" si="0"/>
        <v>2</v>
      </c>
    </row>
    <row r="47" spans="1:11" x14ac:dyDescent="0.3">
      <c r="A47" t="s">
        <v>55</v>
      </c>
      <c r="B47" s="1">
        <v>45337</v>
      </c>
      <c r="C47" t="s">
        <v>1055</v>
      </c>
      <c r="D47" t="s">
        <v>1553</v>
      </c>
      <c r="E47" t="s">
        <v>1991</v>
      </c>
      <c r="F47" t="s">
        <v>1992</v>
      </c>
      <c r="G47" t="s">
        <v>1995</v>
      </c>
      <c r="H47">
        <v>3</v>
      </c>
      <c r="I47">
        <v>316</v>
      </c>
      <c r="J47">
        <v>948</v>
      </c>
      <c r="K47">
        <f t="shared" si="0"/>
        <v>2</v>
      </c>
    </row>
    <row r="48" spans="1:11" x14ac:dyDescent="0.3">
      <c r="A48" t="s">
        <v>56</v>
      </c>
      <c r="B48" s="1">
        <v>45338</v>
      </c>
      <c r="C48" t="s">
        <v>1056</v>
      </c>
      <c r="D48" t="s">
        <v>1554</v>
      </c>
      <c r="E48" t="s">
        <v>1994</v>
      </c>
      <c r="F48" t="s">
        <v>1992</v>
      </c>
      <c r="G48" t="s">
        <v>1995</v>
      </c>
      <c r="H48">
        <v>4</v>
      </c>
      <c r="I48">
        <v>306</v>
      </c>
      <c r="J48">
        <v>1224</v>
      </c>
      <c r="K48">
        <f t="shared" si="0"/>
        <v>4</v>
      </c>
    </row>
    <row r="49" spans="1:11" x14ac:dyDescent="0.3">
      <c r="A49" t="s">
        <v>57</v>
      </c>
      <c r="B49" s="1">
        <v>45339</v>
      </c>
      <c r="C49" t="s">
        <v>1057</v>
      </c>
      <c r="D49" t="s">
        <v>1555</v>
      </c>
      <c r="E49" t="s">
        <v>1991</v>
      </c>
      <c r="F49" t="s">
        <v>1999</v>
      </c>
      <c r="G49" t="s">
        <v>2002</v>
      </c>
      <c r="H49">
        <v>5</v>
      </c>
      <c r="I49">
        <v>23</v>
      </c>
      <c r="J49">
        <v>115</v>
      </c>
      <c r="K49">
        <f t="shared" si="0"/>
        <v>2</v>
      </c>
    </row>
    <row r="50" spans="1:11" x14ac:dyDescent="0.3">
      <c r="A50" t="s">
        <v>58</v>
      </c>
      <c r="B50" s="1">
        <v>45340</v>
      </c>
      <c r="C50" t="s">
        <v>1058</v>
      </c>
      <c r="D50" t="s">
        <v>1556</v>
      </c>
      <c r="E50" t="s">
        <v>1994</v>
      </c>
      <c r="F50" t="s">
        <v>1992</v>
      </c>
      <c r="G50" t="s">
        <v>1998</v>
      </c>
      <c r="H50">
        <v>4</v>
      </c>
      <c r="I50">
        <v>464</v>
      </c>
      <c r="J50">
        <v>1856</v>
      </c>
      <c r="K50">
        <f t="shared" si="0"/>
        <v>2</v>
      </c>
    </row>
    <row r="51" spans="1:11" x14ac:dyDescent="0.3">
      <c r="A51" t="s">
        <v>59</v>
      </c>
      <c r="B51" s="1">
        <v>45341</v>
      </c>
      <c r="C51" t="s">
        <v>1059</v>
      </c>
      <c r="D51" t="s">
        <v>1557</v>
      </c>
      <c r="E51" t="s">
        <v>1991</v>
      </c>
      <c r="F51" t="s">
        <v>1999</v>
      </c>
      <c r="G51" t="s">
        <v>2000</v>
      </c>
      <c r="H51">
        <v>5</v>
      </c>
      <c r="I51">
        <v>23</v>
      </c>
      <c r="J51">
        <v>115</v>
      </c>
      <c r="K51">
        <f t="shared" si="0"/>
        <v>3</v>
      </c>
    </row>
    <row r="52" spans="1:11" x14ac:dyDescent="0.3">
      <c r="A52" t="s">
        <v>60</v>
      </c>
      <c r="B52" s="1">
        <v>45342</v>
      </c>
      <c r="C52" t="s">
        <v>1060</v>
      </c>
      <c r="D52" t="s">
        <v>1558</v>
      </c>
      <c r="E52" t="s">
        <v>1994</v>
      </c>
      <c r="F52" t="s">
        <v>1999</v>
      </c>
      <c r="G52" t="s">
        <v>2003</v>
      </c>
      <c r="H52">
        <v>5</v>
      </c>
      <c r="I52">
        <v>14</v>
      </c>
      <c r="J52">
        <v>70</v>
      </c>
      <c r="K52">
        <f t="shared" si="0"/>
        <v>2</v>
      </c>
    </row>
    <row r="53" spans="1:11" x14ac:dyDescent="0.3">
      <c r="A53" t="s">
        <v>61</v>
      </c>
      <c r="B53" s="1">
        <v>45343</v>
      </c>
      <c r="C53" t="s">
        <v>1061</v>
      </c>
      <c r="D53" t="s">
        <v>1559</v>
      </c>
      <c r="E53" t="s">
        <v>1991</v>
      </c>
      <c r="F53" t="s">
        <v>1992</v>
      </c>
      <c r="G53" t="s">
        <v>1998</v>
      </c>
      <c r="H53">
        <v>4</v>
      </c>
      <c r="I53">
        <v>474</v>
      </c>
      <c r="J53">
        <v>1896</v>
      </c>
      <c r="K53">
        <f t="shared" si="0"/>
        <v>1</v>
      </c>
    </row>
    <row r="54" spans="1:11" x14ac:dyDescent="0.3">
      <c r="A54" t="s">
        <v>62</v>
      </c>
      <c r="B54" s="1">
        <v>45344</v>
      </c>
      <c r="C54" t="s">
        <v>1062</v>
      </c>
      <c r="D54" t="s">
        <v>1560</v>
      </c>
      <c r="E54" t="s">
        <v>1994</v>
      </c>
      <c r="F54" t="s">
        <v>1996</v>
      </c>
      <c r="G54" t="s">
        <v>2001</v>
      </c>
      <c r="H54">
        <v>3</v>
      </c>
      <c r="I54">
        <v>252</v>
      </c>
      <c r="J54">
        <v>756</v>
      </c>
      <c r="K54">
        <f t="shared" si="0"/>
        <v>1</v>
      </c>
    </row>
    <row r="55" spans="1:11" x14ac:dyDescent="0.3">
      <c r="A55" t="s">
        <v>63</v>
      </c>
      <c r="B55" s="1">
        <v>45345</v>
      </c>
      <c r="C55" t="s">
        <v>1063</v>
      </c>
      <c r="D55" t="s">
        <v>1561</v>
      </c>
      <c r="E55" t="s">
        <v>1994</v>
      </c>
      <c r="F55" t="s">
        <v>1992</v>
      </c>
      <c r="G55" t="s">
        <v>1995</v>
      </c>
      <c r="H55">
        <v>1</v>
      </c>
      <c r="I55">
        <v>361</v>
      </c>
      <c r="J55">
        <v>361</v>
      </c>
      <c r="K55">
        <f t="shared" si="0"/>
        <v>1</v>
      </c>
    </row>
    <row r="56" spans="1:11" x14ac:dyDescent="0.3">
      <c r="A56" t="s">
        <v>64</v>
      </c>
      <c r="B56" s="1">
        <v>45346</v>
      </c>
      <c r="C56" t="s">
        <v>1064</v>
      </c>
      <c r="D56" t="s">
        <v>1562</v>
      </c>
      <c r="E56" t="s">
        <v>1994</v>
      </c>
      <c r="F56" t="s">
        <v>1999</v>
      </c>
      <c r="G56" t="s">
        <v>2000</v>
      </c>
      <c r="H56">
        <v>2</v>
      </c>
      <c r="I56">
        <v>31</v>
      </c>
      <c r="J56">
        <v>62</v>
      </c>
      <c r="K56">
        <f t="shared" si="0"/>
        <v>1</v>
      </c>
    </row>
    <row r="57" spans="1:11" x14ac:dyDescent="0.3">
      <c r="A57" t="s">
        <v>65</v>
      </c>
      <c r="B57" s="1">
        <v>45347</v>
      </c>
      <c r="C57" t="s">
        <v>1065</v>
      </c>
      <c r="D57" t="s">
        <v>1563</v>
      </c>
      <c r="E57" t="s">
        <v>1991</v>
      </c>
      <c r="F57" t="s">
        <v>1999</v>
      </c>
      <c r="G57" t="s">
        <v>2000</v>
      </c>
      <c r="H57">
        <v>3</v>
      </c>
      <c r="I57">
        <v>46</v>
      </c>
      <c r="J57">
        <v>138</v>
      </c>
      <c r="K57">
        <f t="shared" si="0"/>
        <v>2</v>
      </c>
    </row>
    <row r="58" spans="1:11" x14ac:dyDescent="0.3">
      <c r="A58" t="s">
        <v>66</v>
      </c>
      <c r="B58" s="1">
        <v>45348</v>
      </c>
      <c r="C58" t="s">
        <v>1066</v>
      </c>
      <c r="D58" t="s">
        <v>1564</v>
      </c>
      <c r="E58" t="s">
        <v>1991</v>
      </c>
      <c r="F58" t="s">
        <v>1996</v>
      </c>
      <c r="G58" t="s">
        <v>2001</v>
      </c>
      <c r="H58">
        <v>5</v>
      </c>
      <c r="I58">
        <v>183</v>
      </c>
      <c r="J58">
        <v>915</v>
      </c>
      <c r="K58">
        <f t="shared" si="0"/>
        <v>2</v>
      </c>
    </row>
    <row r="59" spans="1:11" x14ac:dyDescent="0.3">
      <c r="A59" t="s">
        <v>67</v>
      </c>
      <c r="B59" s="1">
        <v>45349</v>
      </c>
      <c r="C59" t="s">
        <v>1067</v>
      </c>
      <c r="D59" t="s">
        <v>1565</v>
      </c>
      <c r="E59" t="s">
        <v>1994</v>
      </c>
      <c r="F59" t="s">
        <v>1992</v>
      </c>
      <c r="G59" t="s">
        <v>1993</v>
      </c>
      <c r="H59">
        <v>3</v>
      </c>
      <c r="I59">
        <v>398</v>
      </c>
      <c r="J59">
        <v>1194</v>
      </c>
      <c r="K59">
        <f t="shared" si="0"/>
        <v>2</v>
      </c>
    </row>
    <row r="60" spans="1:11" x14ac:dyDescent="0.3">
      <c r="A60" t="s">
        <v>68</v>
      </c>
      <c r="B60" s="1">
        <v>45350</v>
      </c>
      <c r="C60" t="s">
        <v>1068</v>
      </c>
      <c r="D60" t="s">
        <v>1566</v>
      </c>
      <c r="E60" t="s">
        <v>1991</v>
      </c>
      <c r="F60" t="s">
        <v>1992</v>
      </c>
      <c r="G60" t="s">
        <v>1995</v>
      </c>
      <c r="H60">
        <v>2</v>
      </c>
      <c r="I60">
        <v>490</v>
      </c>
      <c r="J60">
        <v>980</v>
      </c>
      <c r="K60">
        <f t="shared" si="0"/>
        <v>1</v>
      </c>
    </row>
    <row r="61" spans="1:11" x14ac:dyDescent="0.3">
      <c r="A61" t="s">
        <v>69</v>
      </c>
      <c r="B61" s="1">
        <v>45351</v>
      </c>
      <c r="C61" t="s">
        <v>1069</v>
      </c>
      <c r="D61" t="s">
        <v>1567</v>
      </c>
      <c r="E61" t="s">
        <v>1991</v>
      </c>
      <c r="F61" t="s">
        <v>1999</v>
      </c>
      <c r="G61" t="s">
        <v>2000</v>
      </c>
      <c r="H61">
        <v>3</v>
      </c>
      <c r="I61">
        <v>32</v>
      </c>
      <c r="J61">
        <v>96</v>
      </c>
      <c r="K61">
        <f t="shared" si="0"/>
        <v>3</v>
      </c>
    </row>
    <row r="62" spans="1:11" x14ac:dyDescent="0.3">
      <c r="A62" t="s">
        <v>70</v>
      </c>
      <c r="B62" s="1">
        <v>45352</v>
      </c>
      <c r="C62" t="s">
        <v>1070</v>
      </c>
      <c r="D62" t="s">
        <v>1568</v>
      </c>
      <c r="E62" t="s">
        <v>1991</v>
      </c>
      <c r="F62" t="s">
        <v>1992</v>
      </c>
      <c r="G62" t="s">
        <v>1993</v>
      </c>
      <c r="H62">
        <v>3</v>
      </c>
      <c r="I62">
        <v>486</v>
      </c>
      <c r="J62">
        <v>1458</v>
      </c>
      <c r="K62">
        <f t="shared" si="0"/>
        <v>3</v>
      </c>
    </row>
    <row r="63" spans="1:11" x14ac:dyDescent="0.3">
      <c r="A63" t="s">
        <v>71</v>
      </c>
      <c r="B63" s="1">
        <v>45353</v>
      </c>
      <c r="C63" t="s">
        <v>1071</v>
      </c>
      <c r="D63" t="s">
        <v>1569</v>
      </c>
      <c r="E63" t="s">
        <v>1994</v>
      </c>
      <c r="F63" t="s">
        <v>1992</v>
      </c>
      <c r="G63" t="s">
        <v>1993</v>
      </c>
      <c r="H63">
        <v>5</v>
      </c>
      <c r="I63">
        <v>453</v>
      </c>
      <c r="J63">
        <v>2265</v>
      </c>
      <c r="K63">
        <f t="shared" si="0"/>
        <v>1</v>
      </c>
    </row>
    <row r="64" spans="1:11" x14ac:dyDescent="0.3">
      <c r="A64" t="s">
        <v>72</v>
      </c>
      <c r="B64" s="1">
        <v>45354</v>
      </c>
      <c r="C64" t="s">
        <v>1072</v>
      </c>
      <c r="D64" t="s">
        <v>1570</v>
      </c>
      <c r="E64" t="s">
        <v>1991</v>
      </c>
      <c r="F64" t="s">
        <v>1999</v>
      </c>
      <c r="G64" t="s">
        <v>2002</v>
      </c>
      <c r="H64">
        <v>2</v>
      </c>
      <c r="I64">
        <v>46</v>
      </c>
      <c r="J64">
        <v>92</v>
      </c>
      <c r="K64">
        <f t="shared" si="0"/>
        <v>1</v>
      </c>
    </row>
    <row r="65" spans="1:11" x14ac:dyDescent="0.3">
      <c r="A65" t="s">
        <v>73</v>
      </c>
      <c r="B65" s="1">
        <v>45355</v>
      </c>
      <c r="C65" t="s">
        <v>1073</v>
      </c>
      <c r="D65" t="s">
        <v>1571</v>
      </c>
      <c r="E65" t="s">
        <v>1994</v>
      </c>
      <c r="F65" t="s">
        <v>1999</v>
      </c>
      <c r="G65" t="s">
        <v>2000</v>
      </c>
      <c r="H65">
        <v>3</v>
      </c>
      <c r="I65">
        <v>47</v>
      </c>
      <c r="J65">
        <v>141</v>
      </c>
      <c r="K65">
        <f t="shared" si="0"/>
        <v>2</v>
      </c>
    </row>
    <row r="66" spans="1:11" x14ac:dyDescent="0.3">
      <c r="A66" t="s">
        <v>74</v>
      </c>
      <c r="B66" s="1">
        <v>45356</v>
      </c>
      <c r="C66" t="s">
        <v>1074</v>
      </c>
      <c r="D66" t="s">
        <v>1572</v>
      </c>
      <c r="E66" t="s">
        <v>1994</v>
      </c>
      <c r="F66" t="s">
        <v>1992</v>
      </c>
      <c r="G66" t="s">
        <v>1993</v>
      </c>
      <c r="H66">
        <v>5</v>
      </c>
      <c r="I66">
        <v>427</v>
      </c>
      <c r="J66">
        <v>2135</v>
      </c>
      <c r="K66">
        <f t="shared" si="0"/>
        <v>4</v>
      </c>
    </row>
    <row r="67" spans="1:11" x14ac:dyDescent="0.3">
      <c r="A67" t="s">
        <v>75</v>
      </c>
      <c r="B67" s="1">
        <v>45357</v>
      </c>
      <c r="C67" t="s">
        <v>1075</v>
      </c>
      <c r="D67" t="s">
        <v>1573</v>
      </c>
      <c r="E67" t="s">
        <v>1991</v>
      </c>
      <c r="F67" t="s">
        <v>1996</v>
      </c>
      <c r="G67" t="s">
        <v>2004</v>
      </c>
      <c r="H67">
        <v>1</v>
      </c>
      <c r="I67">
        <v>105</v>
      </c>
      <c r="J67">
        <v>105</v>
      </c>
      <c r="K67">
        <f t="shared" ref="K67:K130" si="1">COUNTIF(C67:C1066,C67)</f>
        <v>3</v>
      </c>
    </row>
    <row r="68" spans="1:11" x14ac:dyDescent="0.3">
      <c r="A68" t="s">
        <v>76</v>
      </c>
      <c r="B68" s="1">
        <v>45358</v>
      </c>
      <c r="C68" t="s">
        <v>1076</v>
      </c>
      <c r="D68" t="s">
        <v>1574</v>
      </c>
      <c r="E68" t="s">
        <v>1994</v>
      </c>
      <c r="F68" t="s">
        <v>1992</v>
      </c>
      <c r="G68" t="s">
        <v>1995</v>
      </c>
      <c r="H68">
        <v>2</v>
      </c>
      <c r="I68">
        <v>245</v>
      </c>
      <c r="J68">
        <v>490</v>
      </c>
      <c r="K68">
        <f t="shared" si="1"/>
        <v>4</v>
      </c>
    </row>
    <row r="69" spans="1:11" x14ac:dyDescent="0.3">
      <c r="A69" t="s">
        <v>77</v>
      </c>
      <c r="B69" s="1">
        <v>45359</v>
      </c>
      <c r="C69" t="s">
        <v>1077</v>
      </c>
      <c r="D69" t="s">
        <v>1575</v>
      </c>
      <c r="E69" t="s">
        <v>1994</v>
      </c>
      <c r="F69" t="s">
        <v>1999</v>
      </c>
      <c r="G69" t="s">
        <v>2003</v>
      </c>
      <c r="H69">
        <v>3</v>
      </c>
      <c r="I69">
        <v>21</v>
      </c>
      <c r="J69">
        <v>63</v>
      </c>
      <c r="K69">
        <f t="shared" si="1"/>
        <v>6</v>
      </c>
    </row>
    <row r="70" spans="1:11" x14ac:dyDescent="0.3">
      <c r="A70" t="s">
        <v>78</v>
      </c>
      <c r="B70" s="1">
        <v>45360</v>
      </c>
      <c r="C70" t="s">
        <v>1078</v>
      </c>
      <c r="D70" t="s">
        <v>1576</v>
      </c>
      <c r="E70" t="s">
        <v>1991</v>
      </c>
      <c r="F70" t="s">
        <v>1996</v>
      </c>
      <c r="G70" t="s">
        <v>2004</v>
      </c>
      <c r="H70">
        <v>3</v>
      </c>
      <c r="I70">
        <v>190</v>
      </c>
      <c r="J70">
        <v>570</v>
      </c>
      <c r="K70">
        <f t="shared" si="1"/>
        <v>1</v>
      </c>
    </row>
    <row r="71" spans="1:11" x14ac:dyDescent="0.3">
      <c r="A71" t="s">
        <v>79</v>
      </c>
      <c r="B71" s="1">
        <v>45361</v>
      </c>
      <c r="C71" t="s">
        <v>1079</v>
      </c>
      <c r="D71" t="s">
        <v>1577</v>
      </c>
      <c r="E71" t="s">
        <v>1994</v>
      </c>
      <c r="F71" t="s">
        <v>1992</v>
      </c>
      <c r="G71" t="s">
        <v>1995</v>
      </c>
      <c r="H71">
        <v>5</v>
      </c>
      <c r="I71">
        <v>416</v>
      </c>
      <c r="J71">
        <v>2080</v>
      </c>
      <c r="K71">
        <f t="shared" si="1"/>
        <v>1</v>
      </c>
    </row>
    <row r="72" spans="1:11" x14ac:dyDescent="0.3">
      <c r="A72" t="s">
        <v>80</v>
      </c>
      <c r="B72" s="1">
        <v>45362</v>
      </c>
      <c r="C72" t="s">
        <v>1080</v>
      </c>
      <c r="D72" t="s">
        <v>1578</v>
      </c>
      <c r="E72" t="s">
        <v>1991</v>
      </c>
      <c r="F72" t="s">
        <v>1996</v>
      </c>
      <c r="G72" t="s">
        <v>2001</v>
      </c>
      <c r="H72">
        <v>3</v>
      </c>
      <c r="I72">
        <v>204</v>
      </c>
      <c r="J72">
        <v>612</v>
      </c>
      <c r="K72">
        <f t="shared" si="1"/>
        <v>1</v>
      </c>
    </row>
    <row r="73" spans="1:11" x14ac:dyDescent="0.3">
      <c r="A73" t="s">
        <v>81</v>
      </c>
      <c r="B73" s="1">
        <v>45363</v>
      </c>
      <c r="C73" t="s">
        <v>1081</v>
      </c>
      <c r="D73" t="s">
        <v>1579</v>
      </c>
      <c r="E73" t="s">
        <v>1994</v>
      </c>
      <c r="F73" t="s">
        <v>1999</v>
      </c>
      <c r="G73" t="s">
        <v>2003</v>
      </c>
      <c r="H73">
        <v>5</v>
      </c>
      <c r="I73">
        <v>33</v>
      </c>
      <c r="J73">
        <v>165</v>
      </c>
      <c r="K73">
        <f t="shared" si="1"/>
        <v>1</v>
      </c>
    </row>
    <row r="74" spans="1:11" x14ac:dyDescent="0.3">
      <c r="A74" t="s">
        <v>82</v>
      </c>
      <c r="B74" s="1">
        <v>45364</v>
      </c>
      <c r="C74" t="s">
        <v>1082</v>
      </c>
      <c r="D74" t="s">
        <v>1580</v>
      </c>
      <c r="E74" t="s">
        <v>1994</v>
      </c>
      <c r="F74" t="s">
        <v>1999</v>
      </c>
      <c r="G74" t="s">
        <v>2003</v>
      </c>
      <c r="H74">
        <v>1</v>
      </c>
      <c r="I74">
        <v>16</v>
      </c>
      <c r="J74">
        <v>16</v>
      </c>
      <c r="K74">
        <f t="shared" si="1"/>
        <v>3</v>
      </c>
    </row>
    <row r="75" spans="1:11" x14ac:dyDescent="0.3">
      <c r="A75" t="s">
        <v>83</v>
      </c>
      <c r="B75" s="1">
        <v>45365</v>
      </c>
      <c r="C75" t="s">
        <v>1083</v>
      </c>
      <c r="D75" t="s">
        <v>1581</v>
      </c>
      <c r="E75" t="s">
        <v>1991</v>
      </c>
      <c r="F75" t="s">
        <v>1999</v>
      </c>
      <c r="G75" t="s">
        <v>2000</v>
      </c>
      <c r="H75">
        <v>4</v>
      </c>
      <c r="I75">
        <v>26</v>
      </c>
      <c r="J75">
        <v>104</v>
      </c>
      <c r="K75">
        <f t="shared" si="1"/>
        <v>2</v>
      </c>
    </row>
    <row r="76" spans="1:11" x14ac:dyDescent="0.3">
      <c r="A76" t="s">
        <v>84</v>
      </c>
      <c r="B76" s="1">
        <v>45366</v>
      </c>
      <c r="C76" t="s">
        <v>1084</v>
      </c>
      <c r="D76" t="s">
        <v>1582</v>
      </c>
      <c r="E76" t="s">
        <v>1994</v>
      </c>
      <c r="F76" t="s">
        <v>1992</v>
      </c>
      <c r="G76" t="s">
        <v>1995</v>
      </c>
      <c r="H76">
        <v>2</v>
      </c>
      <c r="I76">
        <v>386</v>
      </c>
      <c r="J76">
        <v>772</v>
      </c>
      <c r="K76">
        <f t="shared" si="1"/>
        <v>1</v>
      </c>
    </row>
    <row r="77" spans="1:11" x14ac:dyDescent="0.3">
      <c r="A77" t="s">
        <v>85</v>
      </c>
      <c r="B77" s="1">
        <v>45367</v>
      </c>
      <c r="C77" t="s">
        <v>1085</v>
      </c>
      <c r="D77" t="s">
        <v>1583</v>
      </c>
      <c r="E77" t="s">
        <v>1994</v>
      </c>
      <c r="F77" t="s">
        <v>1999</v>
      </c>
      <c r="G77" t="s">
        <v>2002</v>
      </c>
      <c r="H77">
        <v>2</v>
      </c>
      <c r="I77">
        <v>37</v>
      </c>
      <c r="J77">
        <v>74</v>
      </c>
      <c r="K77">
        <f t="shared" si="1"/>
        <v>1</v>
      </c>
    </row>
    <row r="78" spans="1:11" x14ac:dyDescent="0.3">
      <c r="A78" t="s">
        <v>86</v>
      </c>
      <c r="B78" s="1">
        <v>45368</v>
      </c>
      <c r="C78" t="s">
        <v>1086</v>
      </c>
      <c r="D78" t="s">
        <v>1584</v>
      </c>
      <c r="E78" t="s">
        <v>1991</v>
      </c>
      <c r="F78" t="s">
        <v>1996</v>
      </c>
      <c r="G78" t="s">
        <v>2004</v>
      </c>
      <c r="H78">
        <v>3</v>
      </c>
      <c r="I78">
        <v>212</v>
      </c>
      <c r="J78">
        <v>636</v>
      </c>
      <c r="K78">
        <f t="shared" si="1"/>
        <v>3</v>
      </c>
    </row>
    <row r="79" spans="1:11" x14ac:dyDescent="0.3">
      <c r="A79" t="s">
        <v>87</v>
      </c>
      <c r="B79" s="1">
        <v>45369</v>
      </c>
      <c r="C79" t="s">
        <v>1087</v>
      </c>
      <c r="D79" t="s">
        <v>1585</v>
      </c>
      <c r="E79" t="s">
        <v>1994</v>
      </c>
      <c r="F79" t="s">
        <v>1992</v>
      </c>
      <c r="G79" t="s">
        <v>1995</v>
      </c>
      <c r="H79">
        <v>1</v>
      </c>
      <c r="I79">
        <v>366</v>
      </c>
      <c r="J79">
        <v>366</v>
      </c>
      <c r="K79">
        <f t="shared" si="1"/>
        <v>1</v>
      </c>
    </row>
    <row r="80" spans="1:11" x14ac:dyDescent="0.3">
      <c r="A80" t="s">
        <v>88</v>
      </c>
      <c r="B80" s="1">
        <v>45370</v>
      </c>
      <c r="C80" t="s">
        <v>1088</v>
      </c>
      <c r="D80" t="s">
        <v>1586</v>
      </c>
      <c r="E80" t="s">
        <v>1991</v>
      </c>
      <c r="F80" t="s">
        <v>1996</v>
      </c>
      <c r="G80" t="s">
        <v>2001</v>
      </c>
      <c r="H80">
        <v>4</v>
      </c>
      <c r="I80">
        <v>245</v>
      </c>
      <c r="J80">
        <v>980</v>
      </c>
      <c r="K80">
        <f t="shared" si="1"/>
        <v>1</v>
      </c>
    </row>
    <row r="81" spans="1:11" x14ac:dyDescent="0.3">
      <c r="A81" t="s">
        <v>89</v>
      </c>
      <c r="B81" s="1">
        <v>45371</v>
      </c>
      <c r="C81" t="s">
        <v>1089</v>
      </c>
      <c r="D81" t="s">
        <v>1587</v>
      </c>
      <c r="E81" t="s">
        <v>1994</v>
      </c>
      <c r="F81" t="s">
        <v>1999</v>
      </c>
      <c r="G81" t="s">
        <v>2000</v>
      </c>
      <c r="H81">
        <v>5</v>
      </c>
      <c r="I81">
        <v>26</v>
      </c>
      <c r="J81">
        <v>130</v>
      </c>
      <c r="K81">
        <f t="shared" si="1"/>
        <v>3</v>
      </c>
    </row>
    <row r="82" spans="1:11" x14ac:dyDescent="0.3">
      <c r="A82" t="s">
        <v>90</v>
      </c>
      <c r="B82" s="1">
        <v>45372</v>
      </c>
      <c r="C82" t="s">
        <v>1090</v>
      </c>
      <c r="D82" t="s">
        <v>1588</v>
      </c>
      <c r="E82" t="s">
        <v>1991</v>
      </c>
      <c r="F82" t="s">
        <v>1999</v>
      </c>
      <c r="G82" t="s">
        <v>2003</v>
      </c>
      <c r="H82">
        <v>5</v>
      </c>
      <c r="I82">
        <v>48</v>
      </c>
      <c r="J82">
        <v>240</v>
      </c>
      <c r="K82">
        <f t="shared" si="1"/>
        <v>2</v>
      </c>
    </row>
    <row r="83" spans="1:11" x14ac:dyDescent="0.3">
      <c r="A83" t="s">
        <v>91</v>
      </c>
      <c r="B83" s="1">
        <v>45373</v>
      </c>
      <c r="C83" t="s">
        <v>1091</v>
      </c>
      <c r="D83" t="s">
        <v>1589</v>
      </c>
      <c r="E83" t="s">
        <v>1991</v>
      </c>
      <c r="F83" t="s">
        <v>1992</v>
      </c>
      <c r="G83" t="s">
        <v>1995</v>
      </c>
      <c r="H83">
        <v>1</v>
      </c>
      <c r="I83">
        <v>364</v>
      </c>
      <c r="J83">
        <v>364</v>
      </c>
      <c r="K83">
        <f t="shared" si="1"/>
        <v>4</v>
      </c>
    </row>
    <row r="84" spans="1:11" x14ac:dyDescent="0.3">
      <c r="A84" t="s">
        <v>92</v>
      </c>
      <c r="B84" s="1">
        <v>45374</v>
      </c>
      <c r="C84" t="s">
        <v>1092</v>
      </c>
      <c r="D84" t="s">
        <v>1590</v>
      </c>
      <c r="E84" t="s">
        <v>1991</v>
      </c>
      <c r="F84" t="s">
        <v>1992</v>
      </c>
      <c r="G84" t="s">
        <v>1993</v>
      </c>
      <c r="H84">
        <v>2</v>
      </c>
      <c r="I84">
        <v>297</v>
      </c>
      <c r="J84">
        <v>594</v>
      </c>
      <c r="K84">
        <f t="shared" si="1"/>
        <v>2</v>
      </c>
    </row>
    <row r="85" spans="1:11" x14ac:dyDescent="0.3">
      <c r="A85" t="s">
        <v>93</v>
      </c>
      <c r="B85" s="1">
        <v>45375</v>
      </c>
      <c r="C85" t="s">
        <v>1093</v>
      </c>
      <c r="D85" t="s">
        <v>1591</v>
      </c>
      <c r="E85" t="s">
        <v>1991</v>
      </c>
      <c r="F85" t="s">
        <v>1996</v>
      </c>
      <c r="G85" t="s">
        <v>2001</v>
      </c>
      <c r="H85">
        <v>4</v>
      </c>
      <c r="I85">
        <v>212</v>
      </c>
      <c r="J85">
        <v>848</v>
      </c>
      <c r="K85">
        <f t="shared" si="1"/>
        <v>1</v>
      </c>
    </row>
    <row r="86" spans="1:11" x14ac:dyDescent="0.3">
      <c r="A86" t="s">
        <v>94</v>
      </c>
      <c r="B86" s="1">
        <v>45376</v>
      </c>
      <c r="C86" t="s">
        <v>1094</v>
      </c>
      <c r="D86" t="s">
        <v>1592</v>
      </c>
      <c r="E86" t="s">
        <v>1991</v>
      </c>
      <c r="F86" t="s">
        <v>1999</v>
      </c>
      <c r="G86" t="s">
        <v>2002</v>
      </c>
      <c r="H86">
        <v>2</v>
      </c>
      <c r="I86">
        <v>10</v>
      </c>
      <c r="J86">
        <v>20</v>
      </c>
      <c r="K86">
        <f t="shared" si="1"/>
        <v>5</v>
      </c>
    </row>
    <row r="87" spans="1:11" x14ac:dyDescent="0.3">
      <c r="A87" t="s">
        <v>95</v>
      </c>
      <c r="B87" s="1">
        <v>45377</v>
      </c>
      <c r="C87" t="s">
        <v>1095</v>
      </c>
      <c r="D87" t="s">
        <v>1593</v>
      </c>
      <c r="E87" t="s">
        <v>1991</v>
      </c>
      <c r="F87" t="s">
        <v>1999</v>
      </c>
      <c r="G87" t="s">
        <v>2003</v>
      </c>
      <c r="H87">
        <v>2</v>
      </c>
      <c r="I87">
        <v>30</v>
      </c>
      <c r="J87">
        <v>60</v>
      </c>
      <c r="K87">
        <f t="shared" si="1"/>
        <v>1</v>
      </c>
    </row>
    <row r="88" spans="1:11" x14ac:dyDescent="0.3">
      <c r="A88" t="s">
        <v>96</v>
      </c>
      <c r="B88" s="1">
        <v>45378</v>
      </c>
      <c r="C88" t="s">
        <v>1096</v>
      </c>
      <c r="D88" t="s">
        <v>1594</v>
      </c>
      <c r="E88" t="s">
        <v>1994</v>
      </c>
      <c r="F88" t="s">
        <v>1992</v>
      </c>
      <c r="G88" t="s">
        <v>1998</v>
      </c>
      <c r="H88">
        <v>2</v>
      </c>
      <c r="I88">
        <v>488</v>
      </c>
      <c r="J88">
        <v>976</v>
      </c>
      <c r="K88">
        <f t="shared" si="1"/>
        <v>3</v>
      </c>
    </row>
    <row r="89" spans="1:11" x14ac:dyDescent="0.3">
      <c r="A89" t="s">
        <v>97</v>
      </c>
      <c r="B89" s="1">
        <v>45379</v>
      </c>
      <c r="C89" t="s">
        <v>1097</v>
      </c>
      <c r="D89" t="s">
        <v>1595</v>
      </c>
      <c r="E89" t="s">
        <v>1994</v>
      </c>
      <c r="F89" t="s">
        <v>1992</v>
      </c>
      <c r="G89" t="s">
        <v>1995</v>
      </c>
      <c r="H89">
        <v>3</v>
      </c>
      <c r="I89">
        <v>248</v>
      </c>
      <c r="J89">
        <v>744</v>
      </c>
      <c r="K89">
        <f t="shared" si="1"/>
        <v>4</v>
      </c>
    </row>
    <row r="90" spans="1:11" x14ac:dyDescent="0.3">
      <c r="A90" t="s">
        <v>98</v>
      </c>
      <c r="B90" s="1">
        <v>45380</v>
      </c>
      <c r="C90" t="s">
        <v>1098</v>
      </c>
      <c r="D90" t="s">
        <v>1596</v>
      </c>
      <c r="E90" t="s">
        <v>1994</v>
      </c>
      <c r="F90" t="s">
        <v>1999</v>
      </c>
      <c r="G90" t="s">
        <v>2003</v>
      </c>
      <c r="H90">
        <v>1</v>
      </c>
      <c r="I90">
        <v>10</v>
      </c>
      <c r="J90">
        <v>10</v>
      </c>
      <c r="K90">
        <f t="shared" si="1"/>
        <v>2</v>
      </c>
    </row>
    <row r="91" spans="1:11" x14ac:dyDescent="0.3">
      <c r="A91" t="s">
        <v>99</v>
      </c>
      <c r="B91" s="1">
        <v>45381</v>
      </c>
      <c r="C91" t="s">
        <v>1099</v>
      </c>
      <c r="D91" t="s">
        <v>1597</v>
      </c>
      <c r="E91" t="s">
        <v>1991</v>
      </c>
      <c r="F91" t="s">
        <v>1999</v>
      </c>
      <c r="G91" t="s">
        <v>2002</v>
      </c>
      <c r="H91">
        <v>2</v>
      </c>
      <c r="I91">
        <v>22</v>
      </c>
      <c r="J91">
        <v>44</v>
      </c>
      <c r="K91">
        <f t="shared" si="1"/>
        <v>1</v>
      </c>
    </row>
    <row r="92" spans="1:11" x14ac:dyDescent="0.3">
      <c r="A92" t="s">
        <v>100</v>
      </c>
      <c r="B92" s="1">
        <v>45382</v>
      </c>
      <c r="C92" t="s">
        <v>1100</v>
      </c>
      <c r="D92" t="s">
        <v>1598</v>
      </c>
      <c r="E92" t="s">
        <v>1994</v>
      </c>
      <c r="F92" t="s">
        <v>1996</v>
      </c>
      <c r="G92" t="s">
        <v>2004</v>
      </c>
      <c r="H92">
        <v>2</v>
      </c>
      <c r="I92">
        <v>151</v>
      </c>
      <c r="J92">
        <v>302</v>
      </c>
      <c r="K92">
        <f t="shared" si="1"/>
        <v>1</v>
      </c>
    </row>
    <row r="93" spans="1:11" x14ac:dyDescent="0.3">
      <c r="A93" t="s">
        <v>101</v>
      </c>
      <c r="B93" s="1">
        <v>45383</v>
      </c>
      <c r="C93" t="s">
        <v>1101</v>
      </c>
      <c r="D93" t="s">
        <v>1599</v>
      </c>
      <c r="E93" t="s">
        <v>1991</v>
      </c>
      <c r="F93" t="s">
        <v>1999</v>
      </c>
      <c r="G93" t="s">
        <v>2000</v>
      </c>
      <c r="H93">
        <v>1</v>
      </c>
      <c r="I93">
        <v>24</v>
      </c>
      <c r="J93">
        <v>24</v>
      </c>
      <c r="K93">
        <f t="shared" si="1"/>
        <v>1</v>
      </c>
    </row>
    <row r="94" spans="1:11" x14ac:dyDescent="0.3">
      <c r="A94" t="s">
        <v>102</v>
      </c>
      <c r="B94" s="1">
        <v>45384</v>
      </c>
      <c r="C94" t="s">
        <v>1102</v>
      </c>
      <c r="D94" t="s">
        <v>1600</v>
      </c>
      <c r="E94" t="s">
        <v>1991</v>
      </c>
      <c r="F94" t="s">
        <v>1996</v>
      </c>
      <c r="G94" t="s">
        <v>1997</v>
      </c>
      <c r="H94">
        <v>5</v>
      </c>
      <c r="I94">
        <v>212</v>
      </c>
      <c r="J94">
        <v>1060</v>
      </c>
      <c r="K94">
        <f t="shared" si="1"/>
        <v>2</v>
      </c>
    </row>
    <row r="95" spans="1:11" x14ac:dyDescent="0.3">
      <c r="A95" t="s">
        <v>103</v>
      </c>
      <c r="B95" s="1">
        <v>45385</v>
      </c>
      <c r="C95" t="s">
        <v>1103</v>
      </c>
      <c r="D95" t="s">
        <v>1601</v>
      </c>
      <c r="E95" t="s">
        <v>1994</v>
      </c>
      <c r="F95" t="s">
        <v>1999</v>
      </c>
      <c r="G95" t="s">
        <v>2002</v>
      </c>
      <c r="H95">
        <v>3</v>
      </c>
      <c r="I95">
        <v>12</v>
      </c>
      <c r="J95">
        <v>36</v>
      </c>
      <c r="K95">
        <f t="shared" si="1"/>
        <v>2</v>
      </c>
    </row>
    <row r="96" spans="1:11" x14ac:dyDescent="0.3">
      <c r="A96" t="s">
        <v>104</v>
      </c>
      <c r="B96" s="1">
        <v>45386</v>
      </c>
      <c r="C96" t="s">
        <v>1104</v>
      </c>
      <c r="D96" t="s">
        <v>1601</v>
      </c>
      <c r="E96" t="s">
        <v>1994</v>
      </c>
      <c r="F96" t="s">
        <v>1996</v>
      </c>
      <c r="G96" t="s">
        <v>1997</v>
      </c>
      <c r="H96">
        <v>4</v>
      </c>
      <c r="I96">
        <v>250</v>
      </c>
      <c r="J96">
        <v>1000</v>
      </c>
      <c r="K96">
        <f t="shared" si="1"/>
        <v>2</v>
      </c>
    </row>
    <row r="97" spans="1:11" x14ac:dyDescent="0.3">
      <c r="A97" t="s">
        <v>105</v>
      </c>
      <c r="B97" s="1">
        <v>45387</v>
      </c>
      <c r="C97" t="s">
        <v>1105</v>
      </c>
      <c r="D97" t="s">
        <v>1602</v>
      </c>
      <c r="E97" t="s">
        <v>1991</v>
      </c>
      <c r="F97" t="s">
        <v>1992</v>
      </c>
      <c r="G97" t="s">
        <v>1993</v>
      </c>
      <c r="H97">
        <v>5</v>
      </c>
      <c r="I97">
        <v>419</v>
      </c>
      <c r="J97">
        <v>2095</v>
      </c>
      <c r="K97">
        <f t="shared" si="1"/>
        <v>3</v>
      </c>
    </row>
    <row r="98" spans="1:11" x14ac:dyDescent="0.3">
      <c r="A98" t="s">
        <v>106</v>
      </c>
      <c r="B98" s="1">
        <v>45388</v>
      </c>
      <c r="C98" t="s">
        <v>1106</v>
      </c>
      <c r="D98" t="s">
        <v>1603</v>
      </c>
      <c r="E98" t="s">
        <v>1991</v>
      </c>
      <c r="F98" t="s">
        <v>1999</v>
      </c>
      <c r="G98" t="s">
        <v>2002</v>
      </c>
      <c r="H98">
        <v>3</v>
      </c>
      <c r="I98">
        <v>48</v>
      </c>
      <c r="J98">
        <v>144</v>
      </c>
      <c r="K98">
        <f t="shared" si="1"/>
        <v>1</v>
      </c>
    </row>
    <row r="99" spans="1:11" x14ac:dyDescent="0.3">
      <c r="A99" t="s">
        <v>107</v>
      </c>
      <c r="B99" s="1">
        <v>45389</v>
      </c>
      <c r="C99" t="s">
        <v>1107</v>
      </c>
      <c r="D99" t="s">
        <v>1604</v>
      </c>
      <c r="E99" t="s">
        <v>1994</v>
      </c>
      <c r="F99" t="s">
        <v>1992</v>
      </c>
      <c r="G99" t="s">
        <v>1993</v>
      </c>
      <c r="H99">
        <v>2</v>
      </c>
      <c r="I99">
        <v>482</v>
      </c>
      <c r="J99">
        <v>964</v>
      </c>
      <c r="K99">
        <f t="shared" si="1"/>
        <v>1</v>
      </c>
    </row>
    <row r="100" spans="1:11" x14ac:dyDescent="0.3">
      <c r="A100" t="s">
        <v>108</v>
      </c>
      <c r="B100" s="1">
        <v>45390</v>
      </c>
      <c r="C100" t="s">
        <v>1108</v>
      </c>
      <c r="D100" t="s">
        <v>1605</v>
      </c>
      <c r="E100" t="s">
        <v>1994</v>
      </c>
      <c r="F100" t="s">
        <v>1992</v>
      </c>
      <c r="G100" t="s">
        <v>1995</v>
      </c>
      <c r="H100">
        <v>4</v>
      </c>
      <c r="I100">
        <v>282</v>
      </c>
      <c r="J100">
        <v>1128</v>
      </c>
      <c r="K100">
        <f t="shared" si="1"/>
        <v>2</v>
      </c>
    </row>
    <row r="101" spans="1:11" x14ac:dyDescent="0.3">
      <c r="A101" t="s">
        <v>109</v>
      </c>
      <c r="B101" s="1">
        <v>45391</v>
      </c>
      <c r="C101" t="s">
        <v>1109</v>
      </c>
      <c r="D101" t="s">
        <v>1606</v>
      </c>
      <c r="E101" t="s">
        <v>1994</v>
      </c>
      <c r="F101" t="s">
        <v>1992</v>
      </c>
      <c r="G101" t="s">
        <v>1995</v>
      </c>
      <c r="H101">
        <v>1</v>
      </c>
      <c r="I101">
        <v>435</v>
      </c>
      <c r="J101">
        <v>435</v>
      </c>
      <c r="K101">
        <f t="shared" si="1"/>
        <v>3</v>
      </c>
    </row>
    <row r="102" spans="1:11" x14ac:dyDescent="0.3">
      <c r="A102" t="s">
        <v>110</v>
      </c>
      <c r="B102" s="1">
        <v>45392</v>
      </c>
      <c r="C102" t="s">
        <v>1110</v>
      </c>
      <c r="D102" t="s">
        <v>1607</v>
      </c>
      <c r="E102" t="s">
        <v>1994</v>
      </c>
      <c r="F102" t="s">
        <v>1996</v>
      </c>
      <c r="G102" t="s">
        <v>1997</v>
      </c>
      <c r="H102">
        <v>1</v>
      </c>
      <c r="I102">
        <v>143</v>
      </c>
      <c r="J102">
        <v>143</v>
      </c>
      <c r="K102">
        <f t="shared" si="1"/>
        <v>2</v>
      </c>
    </row>
    <row r="103" spans="1:11" x14ac:dyDescent="0.3">
      <c r="A103" t="s">
        <v>111</v>
      </c>
      <c r="B103" s="1">
        <v>45393</v>
      </c>
      <c r="C103" t="s">
        <v>1111</v>
      </c>
      <c r="D103" t="s">
        <v>1608</v>
      </c>
      <c r="E103" t="s">
        <v>1991</v>
      </c>
      <c r="F103" t="s">
        <v>1992</v>
      </c>
      <c r="G103" t="s">
        <v>1998</v>
      </c>
      <c r="H103">
        <v>2</v>
      </c>
      <c r="I103">
        <v>225</v>
      </c>
      <c r="J103">
        <v>450</v>
      </c>
      <c r="K103">
        <f t="shared" si="1"/>
        <v>2</v>
      </c>
    </row>
    <row r="104" spans="1:11" x14ac:dyDescent="0.3">
      <c r="A104" t="s">
        <v>112</v>
      </c>
      <c r="B104" s="1">
        <v>45394</v>
      </c>
      <c r="C104" t="s">
        <v>1112</v>
      </c>
      <c r="D104" t="s">
        <v>1609</v>
      </c>
      <c r="E104" t="s">
        <v>1991</v>
      </c>
      <c r="F104" t="s">
        <v>1996</v>
      </c>
      <c r="G104" t="s">
        <v>1997</v>
      </c>
      <c r="H104">
        <v>3</v>
      </c>
      <c r="I104">
        <v>132</v>
      </c>
      <c r="J104">
        <v>396</v>
      </c>
      <c r="K104">
        <f t="shared" si="1"/>
        <v>1</v>
      </c>
    </row>
    <row r="105" spans="1:11" x14ac:dyDescent="0.3">
      <c r="A105" t="s">
        <v>113</v>
      </c>
      <c r="B105" s="1">
        <v>45395</v>
      </c>
      <c r="C105" t="s">
        <v>1113</v>
      </c>
      <c r="D105" t="s">
        <v>1610</v>
      </c>
      <c r="E105" t="s">
        <v>1994</v>
      </c>
      <c r="F105" t="s">
        <v>1992</v>
      </c>
      <c r="G105" t="s">
        <v>1993</v>
      </c>
      <c r="H105">
        <v>2</v>
      </c>
      <c r="I105">
        <v>356</v>
      </c>
      <c r="J105">
        <v>712</v>
      </c>
      <c r="K105">
        <f t="shared" si="1"/>
        <v>2</v>
      </c>
    </row>
    <row r="106" spans="1:11" x14ac:dyDescent="0.3">
      <c r="A106" t="s">
        <v>114</v>
      </c>
      <c r="B106" s="1">
        <v>45396</v>
      </c>
      <c r="C106" t="s">
        <v>1114</v>
      </c>
      <c r="D106" t="s">
        <v>1611</v>
      </c>
      <c r="E106" t="s">
        <v>1991</v>
      </c>
      <c r="F106" t="s">
        <v>1999</v>
      </c>
      <c r="G106" t="s">
        <v>2000</v>
      </c>
      <c r="H106">
        <v>1</v>
      </c>
      <c r="I106">
        <v>16</v>
      </c>
      <c r="J106">
        <v>16</v>
      </c>
      <c r="K106">
        <f t="shared" si="1"/>
        <v>2</v>
      </c>
    </row>
    <row r="107" spans="1:11" x14ac:dyDescent="0.3">
      <c r="A107" t="s">
        <v>115</v>
      </c>
      <c r="B107" s="1">
        <v>45397</v>
      </c>
      <c r="C107" t="s">
        <v>1115</v>
      </c>
      <c r="D107" t="s">
        <v>1612</v>
      </c>
      <c r="E107" t="s">
        <v>1994</v>
      </c>
      <c r="F107" t="s">
        <v>1992</v>
      </c>
      <c r="G107" t="s">
        <v>1993</v>
      </c>
      <c r="H107">
        <v>4</v>
      </c>
      <c r="I107">
        <v>317</v>
      </c>
      <c r="J107">
        <v>1268</v>
      </c>
      <c r="K107">
        <f t="shared" si="1"/>
        <v>2</v>
      </c>
    </row>
    <row r="108" spans="1:11" x14ac:dyDescent="0.3">
      <c r="A108" t="s">
        <v>116</v>
      </c>
      <c r="B108" s="1">
        <v>45398</v>
      </c>
      <c r="C108" t="s">
        <v>1116</v>
      </c>
      <c r="D108" t="s">
        <v>1613</v>
      </c>
      <c r="E108" t="s">
        <v>1991</v>
      </c>
      <c r="F108" t="s">
        <v>1999</v>
      </c>
      <c r="G108" t="s">
        <v>2002</v>
      </c>
      <c r="H108">
        <v>3</v>
      </c>
      <c r="I108">
        <v>36</v>
      </c>
      <c r="J108">
        <v>108</v>
      </c>
      <c r="K108">
        <f t="shared" si="1"/>
        <v>2</v>
      </c>
    </row>
    <row r="109" spans="1:11" x14ac:dyDescent="0.3">
      <c r="A109" t="s">
        <v>117</v>
      </c>
      <c r="B109" s="1">
        <v>45399</v>
      </c>
      <c r="C109" t="s">
        <v>1117</v>
      </c>
      <c r="D109" t="s">
        <v>1614</v>
      </c>
      <c r="E109" t="s">
        <v>1994</v>
      </c>
      <c r="F109" t="s">
        <v>1999</v>
      </c>
      <c r="G109" t="s">
        <v>2003</v>
      </c>
      <c r="H109">
        <v>3</v>
      </c>
      <c r="I109">
        <v>28</v>
      </c>
      <c r="J109">
        <v>84</v>
      </c>
      <c r="K109">
        <f t="shared" si="1"/>
        <v>1</v>
      </c>
    </row>
    <row r="110" spans="1:11" x14ac:dyDescent="0.3">
      <c r="A110" t="s">
        <v>118</v>
      </c>
      <c r="B110" s="1">
        <v>45400</v>
      </c>
      <c r="C110" t="s">
        <v>1118</v>
      </c>
      <c r="D110" t="s">
        <v>1615</v>
      </c>
      <c r="E110" t="s">
        <v>1994</v>
      </c>
      <c r="F110" t="s">
        <v>1999</v>
      </c>
      <c r="G110" t="s">
        <v>2000</v>
      </c>
      <c r="H110">
        <v>5</v>
      </c>
      <c r="I110">
        <v>38</v>
      </c>
      <c r="J110">
        <v>190</v>
      </c>
      <c r="K110">
        <f t="shared" si="1"/>
        <v>4</v>
      </c>
    </row>
    <row r="111" spans="1:11" x14ac:dyDescent="0.3">
      <c r="A111" t="s">
        <v>119</v>
      </c>
      <c r="B111" s="1">
        <v>45401</v>
      </c>
      <c r="C111" t="s">
        <v>1119</v>
      </c>
      <c r="D111" t="s">
        <v>1616</v>
      </c>
      <c r="E111" t="s">
        <v>1994</v>
      </c>
      <c r="F111" t="s">
        <v>1996</v>
      </c>
      <c r="G111" t="s">
        <v>1997</v>
      </c>
      <c r="H111">
        <v>3</v>
      </c>
      <c r="I111">
        <v>130</v>
      </c>
      <c r="J111">
        <v>390</v>
      </c>
      <c r="K111">
        <f t="shared" si="1"/>
        <v>3</v>
      </c>
    </row>
    <row r="112" spans="1:11" x14ac:dyDescent="0.3">
      <c r="A112" t="s">
        <v>120</v>
      </c>
      <c r="B112" s="1">
        <v>45402</v>
      </c>
      <c r="C112" t="s">
        <v>1120</v>
      </c>
      <c r="D112" t="s">
        <v>1617</v>
      </c>
      <c r="E112" t="s">
        <v>1991</v>
      </c>
      <c r="F112" t="s">
        <v>1992</v>
      </c>
      <c r="G112" t="s">
        <v>1993</v>
      </c>
      <c r="H112">
        <v>4</v>
      </c>
      <c r="I112">
        <v>488</v>
      </c>
      <c r="J112">
        <v>1952</v>
      </c>
      <c r="K112">
        <f t="shared" si="1"/>
        <v>3</v>
      </c>
    </row>
    <row r="113" spans="1:11" x14ac:dyDescent="0.3">
      <c r="A113" t="s">
        <v>121</v>
      </c>
      <c r="B113" s="1">
        <v>45403</v>
      </c>
      <c r="C113" t="s">
        <v>1121</v>
      </c>
      <c r="D113" t="s">
        <v>1618</v>
      </c>
      <c r="E113" t="s">
        <v>1994</v>
      </c>
      <c r="F113" t="s">
        <v>1992</v>
      </c>
      <c r="G113" t="s">
        <v>1993</v>
      </c>
      <c r="H113">
        <v>3</v>
      </c>
      <c r="I113">
        <v>297</v>
      </c>
      <c r="J113">
        <v>891</v>
      </c>
      <c r="K113">
        <f t="shared" si="1"/>
        <v>1</v>
      </c>
    </row>
    <row r="114" spans="1:11" x14ac:dyDescent="0.3">
      <c r="A114" t="s">
        <v>122</v>
      </c>
      <c r="B114" s="1">
        <v>45404</v>
      </c>
      <c r="C114" t="s">
        <v>1122</v>
      </c>
      <c r="D114" t="s">
        <v>1619</v>
      </c>
      <c r="E114" t="s">
        <v>1994</v>
      </c>
      <c r="F114" t="s">
        <v>1992</v>
      </c>
      <c r="G114" t="s">
        <v>1993</v>
      </c>
      <c r="H114">
        <v>3</v>
      </c>
      <c r="I114">
        <v>211</v>
      </c>
      <c r="J114">
        <v>633</v>
      </c>
      <c r="K114">
        <f t="shared" si="1"/>
        <v>1</v>
      </c>
    </row>
    <row r="115" spans="1:11" x14ac:dyDescent="0.3">
      <c r="A115" t="s">
        <v>123</v>
      </c>
      <c r="B115" s="1">
        <v>45405</v>
      </c>
      <c r="C115" t="s">
        <v>1123</v>
      </c>
      <c r="D115" t="s">
        <v>1620</v>
      </c>
      <c r="E115" t="s">
        <v>1994</v>
      </c>
      <c r="F115" t="s">
        <v>1992</v>
      </c>
      <c r="G115" t="s">
        <v>1998</v>
      </c>
      <c r="H115">
        <v>1</v>
      </c>
      <c r="I115">
        <v>392</v>
      </c>
      <c r="J115">
        <v>392</v>
      </c>
      <c r="K115">
        <f t="shared" si="1"/>
        <v>2</v>
      </c>
    </row>
    <row r="116" spans="1:11" x14ac:dyDescent="0.3">
      <c r="A116" t="s">
        <v>124</v>
      </c>
      <c r="B116" s="1">
        <v>45406</v>
      </c>
      <c r="C116" t="s">
        <v>1124</v>
      </c>
      <c r="D116" t="s">
        <v>1621</v>
      </c>
      <c r="E116" t="s">
        <v>1991</v>
      </c>
      <c r="F116" t="s">
        <v>1996</v>
      </c>
      <c r="G116" t="s">
        <v>2001</v>
      </c>
      <c r="H116">
        <v>2</v>
      </c>
      <c r="I116">
        <v>236</v>
      </c>
      <c r="J116">
        <v>472</v>
      </c>
      <c r="K116">
        <f t="shared" si="1"/>
        <v>3</v>
      </c>
    </row>
    <row r="117" spans="1:11" x14ac:dyDescent="0.3">
      <c r="A117" t="s">
        <v>125</v>
      </c>
      <c r="B117" s="1">
        <v>45407</v>
      </c>
      <c r="C117" t="s">
        <v>1125</v>
      </c>
      <c r="D117" t="s">
        <v>1622</v>
      </c>
      <c r="E117" t="s">
        <v>1991</v>
      </c>
      <c r="F117" t="s">
        <v>1999</v>
      </c>
      <c r="G117" t="s">
        <v>2003</v>
      </c>
      <c r="H117">
        <v>4</v>
      </c>
      <c r="I117">
        <v>32</v>
      </c>
      <c r="J117">
        <v>128</v>
      </c>
      <c r="K117">
        <f t="shared" si="1"/>
        <v>2</v>
      </c>
    </row>
    <row r="118" spans="1:11" x14ac:dyDescent="0.3">
      <c r="A118" t="s">
        <v>126</v>
      </c>
      <c r="B118" s="1">
        <v>45408</v>
      </c>
      <c r="C118" t="s">
        <v>1126</v>
      </c>
      <c r="D118" t="s">
        <v>1623</v>
      </c>
      <c r="E118" t="s">
        <v>1991</v>
      </c>
      <c r="F118" t="s">
        <v>1996</v>
      </c>
      <c r="G118" t="s">
        <v>2004</v>
      </c>
      <c r="H118">
        <v>5</v>
      </c>
      <c r="I118">
        <v>219</v>
      </c>
      <c r="J118">
        <v>1095</v>
      </c>
      <c r="K118">
        <f t="shared" si="1"/>
        <v>1</v>
      </c>
    </row>
    <row r="119" spans="1:11" x14ac:dyDescent="0.3">
      <c r="A119" t="s">
        <v>127</v>
      </c>
      <c r="B119" s="1">
        <v>45409</v>
      </c>
      <c r="C119" t="s">
        <v>1127</v>
      </c>
      <c r="D119" t="s">
        <v>1624</v>
      </c>
      <c r="E119" t="s">
        <v>1994</v>
      </c>
      <c r="F119" t="s">
        <v>1996</v>
      </c>
      <c r="G119" t="s">
        <v>2004</v>
      </c>
      <c r="H119">
        <v>4</v>
      </c>
      <c r="I119">
        <v>234</v>
      </c>
      <c r="J119">
        <v>936</v>
      </c>
      <c r="K119">
        <f t="shared" si="1"/>
        <v>3</v>
      </c>
    </row>
    <row r="120" spans="1:11" x14ac:dyDescent="0.3">
      <c r="A120" t="s">
        <v>128</v>
      </c>
      <c r="B120" s="1">
        <v>45410</v>
      </c>
      <c r="C120" t="s">
        <v>1128</v>
      </c>
      <c r="D120" t="s">
        <v>1625</v>
      </c>
      <c r="E120" t="s">
        <v>1994</v>
      </c>
      <c r="F120" t="s">
        <v>1992</v>
      </c>
      <c r="G120" t="s">
        <v>1995</v>
      </c>
      <c r="H120">
        <v>4</v>
      </c>
      <c r="I120">
        <v>409</v>
      </c>
      <c r="J120">
        <v>1636</v>
      </c>
      <c r="K120">
        <f t="shared" si="1"/>
        <v>2</v>
      </c>
    </row>
    <row r="121" spans="1:11" x14ac:dyDescent="0.3">
      <c r="A121" t="s">
        <v>129</v>
      </c>
      <c r="B121" s="1">
        <v>45411</v>
      </c>
      <c r="C121" t="s">
        <v>1129</v>
      </c>
      <c r="D121" t="s">
        <v>1626</v>
      </c>
      <c r="E121" t="s">
        <v>1994</v>
      </c>
      <c r="F121" t="s">
        <v>1999</v>
      </c>
      <c r="G121" t="s">
        <v>2003</v>
      </c>
      <c r="H121">
        <v>1</v>
      </c>
      <c r="I121">
        <v>20</v>
      </c>
      <c r="J121">
        <v>20</v>
      </c>
      <c r="K121">
        <f t="shared" si="1"/>
        <v>2</v>
      </c>
    </row>
    <row r="122" spans="1:11" x14ac:dyDescent="0.3">
      <c r="A122" t="s">
        <v>130</v>
      </c>
      <c r="B122" s="1">
        <v>45412</v>
      </c>
      <c r="C122" t="s">
        <v>1130</v>
      </c>
      <c r="D122" t="s">
        <v>1627</v>
      </c>
      <c r="E122" t="s">
        <v>1991</v>
      </c>
      <c r="F122" t="s">
        <v>1992</v>
      </c>
      <c r="G122" t="s">
        <v>1998</v>
      </c>
      <c r="H122">
        <v>2</v>
      </c>
      <c r="I122">
        <v>498</v>
      </c>
      <c r="J122">
        <v>996</v>
      </c>
      <c r="K122">
        <f t="shared" si="1"/>
        <v>2</v>
      </c>
    </row>
    <row r="123" spans="1:11" x14ac:dyDescent="0.3">
      <c r="A123" t="s">
        <v>131</v>
      </c>
      <c r="B123" s="1">
        <v>45413</v>
      </c>
      <c r="C123" t="s">
        <v>1131</v>
      </c>
      <c r="D123" t="s">
        <v>1628</v>
      </c>
      <c r="E123" t="s">
        <v>1991</v>
      </c>
      <c r="F123" t="s">
        <v>1996</v>
      </c>
      <c r="G123" t="s">
        <v>2001</v>
      </c>
      <c r="H123">
        <v>5</v>
      </c>
      <c r="I123">
        <v>224</v>
      </c>
      <c r="J123">
        <v>1120</v>
      </c>
      <c r="K123">
        <f t="shared" si="1"/>
        <v>2</v>
      </c>
    </row>
    <row r="124" spans="1:11" x14ac:dyDescent="0.3">
      <c r="A124" t="s">
        <v>132</v>
      </c>
      <c r="B124" s="1">
        <v>45414</v>
      </c>
      <c r="C124" t="s">
        <v>1132</v>
      </c>
      <c r="D124" t="s">
        <v>1629</v>
      </c>
      <c r="E124" t="s">
        <v>1991</v>
      </c>
      <c r="F124" t="s">
        <v>1992</v>
      </c>
      <c r="G124" t="s">
        <v>1995</v>
      </c>
      <c r="H124">
        <v>4</v>
      </c>
      <c r="I124">
        <v>225</v>
      </c>
      <c r="J124">
        <v>900</v>
      </c>
      <c r="K124">
        <f t="shared" si="1"/>
        <v>3</v>
      </c>
    </row>
    <row r="125" spans="1:11" x14ac:dyDescent="0.3">
      <c r="A125" t="s">
        <v>133</v>
      </c>
      <c r="B125" s="1">
        <v>45415</v>
      </c>
      <c r="C125" t="s">
        <v>1133</v>
      </c>
      <c r="D125" t="s">
        <v>1630</v>
      </c>
      <c r="E125" t="s">
        <v>1994</v>
      </c>
      <c r="F125" t="s">
        <v>1996</v>
      </c>
      <c r="G125" t="s">
        <v>1997</v>
      </c>
      <c r="H125">
        <v>1</v>
      </c>
      <c r="I125">
        <v>190</v>
      </c>
      <c r="J125">
        <v>190</v>
      </c>
      <c r="K125">
        <f t="shared" si="1"/>
        <v>1</v>
      </c>
    </row>
    <row r="126" spans="1:11" x14ac:dyDescent="0.3">
      <c r="A126" t="s">
        <v>134</v>
      </c>
      <c r="B126" s="1">
        <v>45416</v>
      </c>
      <c r="C126" t="s">
        <v>1134</v>
      </c>
      <c r="D126" t="s">
        <v>1631</v>
      </c>
      <c r="E126" t="s">
        <v>1991</v>
      </c>
      <c r="F126" t="s">
        <v>1999</v>
      </c>
      <c r="G126" t="s">
        <v>2002</v>
      </c>
      <c r="H126">
        <v>5</v>
      </c>
      <c r="I126">
        <v>45</v>
      </c>
      <c r="J126">
        <v>225</v>
      </c>
      <c r="K126">
        <f t="shared" si="1"/>
        <v>2</v>
      </c>
    </row>
    <row r="127" spans="1:11" x14ac:dyDescent="0.3">
      <c r="A127" t="s">
        <v>135</v>
      </c>
      <c r="B127" s="1">
        <v>45417</v>
      </c>
      <c r="C127" t="s">
        <v>1135</v>
      </c>
      <c r="D127" t="s">
        <v>1632</v>
      </c>
      <c r="E127" t="s">
        <v>1991</v>
      </c>
      <c r="F127" t="s">
        <v>1996</v>
      </c>
      <c r="G127" t="s">
        <v>2004</v>
      </c>
      <c r="H127">
        <v>5</v>
      </c>
      <c r="I127">
        <v>203</v>
      </c>
      <c r="J127">
        <v>1015</v>
      </c>
      <c r="K127">
        <f t="shared" si="1"/>
        <v>4</v>
      </c>
    </row>
    <row r="128" spans="1:11" x14ac:dyDescent="0.3">
      <c r="A128" t="s">
        <v>136</v>
      </c>
      <c r="B128" s="1">
        <v>45418</v>
      </c>
      <c r="C128" t="s">
        <v>1136</v>
      </c>
      <c r="D128" t="s">
        <v>1633</v>
      </c>
      <c r="E128" t="s">
        <v>1991</v>
      </c>
      <c r="F128" t="s">
        <v>1999</v>
      </c>
      <c r="G128" t="s">
        <v>2000</v>
      </c>
      <c r="H128">
        <v>2</v>
      </c>
      <c r="I128">
        <v>32</v>
      </c>
      <c r="J128">
        <v>64</v>
      </c>
      <c r="K128">
        <f t="shared" si="1"/>
        <v>2</v>
      </c>
    </row>
    <row r="129" spans="1:11" x14ac:dyDescent="0.3">
      <c r="A129" t="s">
        <v>137</v>
      </c>
      <c r="B129" s="1">
        <v>45419</v>
      </c>
      <c r="C129" t="s">
        <v>1137</v>
      </c>
      <c r="D129" t="s">
        <v>1634</v>
      </c>
      <c r="E129" t="s">
        <v>1991</v>
      </c>
      <c r="F129" t="s">
        <v>1999</v>
      </c>
      <c r="G129" t="s">
        <v>2002</v>
      </c>
      <c r="H129">
        <v>1</v>
      </c>
      <c r="I129">
        <v>17</v>
      </c>
      <c r="J129">
        <v>17</v>
      </c>
      <c r="K129">
        <f t="shared" si="1"/>
        <v>5</v>
      </c>
    </row>
    <row r="130" spans="1:11" x14ac:dyDescent="0.3">
      <c r="A130" t="s">
        <v>138</v>
      </c>
      <c r="B130" s="1">
        <v>45420</v>
      </c>
      <c r="C130" t="s">
        <v>1138</v>
      </c>
      <c r="D130" t="s">
        <v>1635</v>
      </c>
      <c r="E130" t="s">
        <v>1991</v>
      </c>
      <c r="F130" t="s">
        <v>1992</v>
      </c>
      <c r="G130" t="s">
        <v>1995</v>
      </c>
      <c r="H130">
        <v>5</v>
      </c>
      <c r="I130">
        <v>375</v>
      </c>
      <c r="J130">
        <v>1875</v>
      </c>
      <c r="K130">
        <f t="shared" si="1"/>
        <v>1</v>
      </c>
    </row>
    <row r="131" spans="1:11" x14ac:dyDescent="0.3">
      <c r="A131" t="s">
        <v>139</v>
      </c>
      <c r="B131" s="1">
        <v>45421</v>
      </c>
      <c r="C131" t="s">
        <v>1139</v>
      </c>
      <c r="D131" t="s">
        <v>1636</v>
      </c>
      <c r="E131" t="s">
        <v>1991</v>
      </c>
      <c r="F131" t="s">
        <v>1992</v>
      </c>
      <c r="G131" t="s">
        <v>1995</v>
      </c>
      <c r="H131">
        <v>1</v>
      </c>
      <c r="I131">
        <v>484</v>
      </c>
      <c r="J131">
        <v>484</v>
      </c>
      <c r="K131">
        <f t="shared" ref="K131:K194" si="2">COUNTIF(C131:C1130,C131)</f>
        <v>1</v>
      </c>
    </row>
    <row r="132" spans="1:11" x14ac:dyDescent="0.3">
      <c r="A132" t="s">
        <v>140</v>
      </c>
      <c r="B132" s="1">
        <v>45422</v>
      </c>
      <c r="C132" t="s">
        <v>1140</v>
      </c>
      <c r="D132" t="s">
        <v>1637</v>
      </c>
      <c r="E132" t="s">
        <v>1991</v>
      </c>
      <c r="F132" t="s">
        <v>1992</v>
      </c>
      <c r="G132" t="s">
        <v>1998</v>
      </c>
      <c r="H132">
        <v>3</v>
      </c>
      <c r="I132">
        <v>204</v>
      </c>
      <c r="J132">
        <v>612</v>
      </c>
      <c r="K132">
        <f t="shared" si="2"/>
        <v>2</v>
      </c>
    </row>
    <row r="133" spans="1:11" x14ac:dyDescent="0.3">
      <c r="A133" t="s">
        <v>141</v>
      </c>
      <c r="B133" s="1">
        <v>45423</v>
      </c>
      <c r="C133" t="s">
        <v>1141</v>
      </c>
      <c r="D133" t="s">
        <v>1638</v>
      </c>
      <c r="E133" t="s">
        <v>1991</v>
      </c>
      <c r="F133" t="s">
        <v>1999</v>
      </c>
      <c r="G133" t="s">
        <v>2002</v>
      </c>
      <c r="H133">
        <v>1</v>
      </c>
      <c r="I133">
        <v>13</v>
      </c>
      <c r="J133">
        <v>13</v>
      </c>
      <c r="K133">
        <f t="shared" si="2"/>
        <v>1</v>
      </c>
    </row>
    <row r="134" spans="1:11" x14ac:dyDescent="0.3">
      <c r="A134" t="s">
        <v>142</v>
      </c>
      <c r="B134" s="1">
        <v>45424</v>
      </c>
      <c r="C134" t="s">
        <v>1142</v>
      </c>
      <c r="D134" t="s">
        <v>1639</v>
      </c>
      <c r="E134" t="s">
        <v>1991</v>
      </c>
      <c r="F134" t="s">
        <v>1996</v>
      </c>
      <c r="G134" t="s">
        <v>1997</v>
      </c>
      <c r="H134">
        <v>3</v>
      </c>
      <c r="I134">
        <v>212</v>
      </c>
      <c r="J134">
        <v>636</v>
      </c>
      <c r="K134">
        <f t="shared" si="2"/>
        <v>1</v>
      </c>
    </row>
    <row r="135" spans="1:11" x14ac:dyDescent="0.3">
      <c r="A135" t="s">
        <v>143</v>
      </c>
      <c r="B135" s="1">
        <v>45425</v>
      </c>
      <c r="C135" t="s">
        <v>1143</v>
      </c>
      <c r="D135" t="s">
        <v>1640</v>
      </c>
      <c r="E135" t="s">
        <v>1991</v>
      </c>
      <c r="F135" t="s">
        <v>1999</v>
      </c>
      <c r="G135" t="s">
        <v>2003</v>
      </c>
      <c r="H135">
        <v>2</v>
      </c>
      <c r="I135">
        <v>27</v>
      </c>
      <c r="J135">
        <v>54</v>
      </c>
      <c r="K135">
        <f t="shared" si="2"/>
        <v>1</v>
      </c>
    </row>
    <row r="136" spans="1:11" x14ac:dyDescent="0.3">
      <c r="A136" t="s">
        <v>144</v>
      </c>
      <c r="B136" s="1">
        <v>45426</v>
      </c>
      <c r="C136" t="s">
        <v>1144</v>
      </c>
      <c r="D136" t="s">
        <v>1641</v>
      </c>
      <c r="E136" t="s">
        <v>1991</v>
      </c>
      <c r="F136" t="s">
        <v>1999</v>
      </c>
      <c r="G136" t="s">
        <v>2000</v>
      </c>
      <c r="H136">
        <v>5</v>
      </c>
      <c r="I136">
        <v>35</v>
      </c>
      <c r="J136">
        <v>175</v>
      </c>
      <c r="K136">
        <f t="shared" si="2"/>
        <v>1</v>
      </c>
    </row>
    <row r="137" spans="1:11" x14ac:dyDescent="0.3">
      <c r="A137" t="s">
        <v>145</v>
      </c>
      <c r="B137" s="1">
        <v>45427</v>
      </c>
      <c r="C137" t="s">
        <v>1145</v>
      </c>
      <c r="D137" t="s">
        <v>1642</v>
      </c>
      <c r="E137" t="s">
        <v>1994</v>
      </c>
      <c r="F137" t="s">
        <v>1999</v>
      </c>
      <c r="G137" t="s">
        <v>2002</v>
      </c>
      <c r="H137">
        <v>4</v>
      </c>
      <c r="I137">
        <v>19</v>
      </c>
      <c r="J137">
        <v>76</v>
      </c>
      <c r="K137">
        <f t="shared" si="2"/>
        <v>1</v>
      </c>
    </row>
    <row r="138" spans="1:11" x14ac:dyDescent="0.3">
      <c r="A138" t="s">
        <v>146</v>
      </c>
      <c r="B138" s="1">
        <v>45428</v>
      </c>
      <c r="C138" t="s">
        <v>1146</v>
      </c>
      <c r="D138" t="s">
        <v>1643</v>
      </c>
      <c r="E138" t="s">
        <v>1994</v>
      </c>
      <c r="F138" t="s">
        <v>1999</v>
      </c>
      <c r="G138" t="s">
        <v>2003</v>
      </c>
      <c r="H138">
        <v>1</v>
      </c>
      <c r="I138">
        <v>30</v>
      </c>
      <c r="J138">
        <v>30</v>
      </c>
      <c r="K138">
        <f t="shared" si="2"/>
        <v>2</v>
      </c>
    </row>
    <row r="139" spans="1:11" x14ac:dyDescent="0.3">
      <c r="A139" t="s">
        <v>147</v>
      </c>
      <c r="B139" s="1">
        <v>45429</v>
      </c>
      <c r="C139" t="s">
        <v>1147</v>
      </c>
      <c r="D139" t="s">
        <v>1644</v>
      </c>
      <c r="E139" t="s">
        <v>1991</v>
      </c>
      <c r="F139" t="s">
        <v>1996</v>
      </c>
      <c r="G139" t="s">
        <v>2004</v>
      </c>
      <c r="H139">
        <v>5</v>
      </c>
      <c r="I139">
        <v>219</v>
      </c>
      <c r="J139">
        <v>1095</v>
      </c>
      <c r="K139">
        <f t="shared" si="2"/>
        <v>5</v>
      </c>
    </row>
    <row r="140" spans="1:11" x14ac:dyDescent="0.3">
      <c r="A140" t="s">
        <v>148</v>
      </c>
      <c r="B140" s="1">
        <v>45430</v>
      </c>
      <c r="C140" t="s">
        <v>1148</v>
      </c>
      <c r="D140" t="s">
        <v>1645</v>
      </c>
      <c r="E140" t="s">
        <v>1991</v>
      </c>
      <c r="F140" t="s">
        <v>1996</v>
      </c>
      <c r="G140" t="s">
        <v>2001</v>
      </c>
      <c r="H140">
        <v>1</v>
      </c>
      <c r="I140">
        <v>146</v>
      </c>
      <c r="J140">
        <v>146</v>
      </c>
      <c r="K140">
        <f t="shared" si="2"/>
        <v>1</v>
      </c>
    </row>
    <row r="141" spans="1:11" x14ac:dyDescent="0.3">
      <c r="A141" t="s">
        <v>149</v>
      </c>
      <c r="B141" s="1">
        <v>45431</v>
      </c>
      <c r="C141" t="s">
        <v>1149</v>
      </c>
      <c r="D141" t="s">
        <v>1646</v>
      </c>
      <c r="E141" t="s">
        <v>1991</v>
      </c>
      <c r="F141" t="s">
        <v>1996</v>
      </c>
      <c r="G141" t="s">
        <v>1997</v>
      </c>
      <c r="H141">
        <v>1</v>
      </c>
      <c r="I141">
        <v>262</v>
      </c>
      <c r="J141">
        <v>262</v>
      </c>
      <c r="K141">
        <f t="shared" si="2"/>
        <v>2</v>
      </c>
    </row>
    <row r="142" spans="1:11" x14ac:dyDescent="0.3">
      <c r="A142" t="s">
        <v>150</v>
      </c>
      <c r="B142" s="1">
        <v>45432</v>
      </c>
      <c r="C142" t="s">
        <v>1150</v>
      </c>
      <c r="D142" t="s">
        <v>1647</v>
      </c>
      <c r="E142" t="s">
        <v>1991</v>
      </c>
      <c r="F142" t="s">
        <v>1996</v>
      </c>
      <c r="G142" t="s">
        <v>2004</v>
      </c>
      <c r="H142">
        <v>1</v>
      </c>
      <c r="I142">
        <v>121</v>
      </c>
      <c r="J142">
        <v>121</v>
      </c>
      <c r="K142">
        <f t="shared" si="2"/>
        <v>3</v>
      </c>
    </row>
    <row r="143" spans="1:11" x14ac:dyDescent="0.3">
      <c r="A143" t="s">
        <v>151</v>
      </c>
      <c r="B143" s="1">
        <v>45433</v>
      </c>
      <c r="C143" t="s">
        <v>1151</v>
      </c>
      <c r="D143" t="s">
        <v>1648</v>
      </c>
      <c r="E143" t="s">
        <v>1994</v>
      </c>
      <c r="F143" t="s">
        <v>1996</v>
      </c>
      <c r="G143" t="s">
        <v>1997</v>
      </c>
      <c r="H143">
        <v>1</v>
      </c>
      <c r="I143">
        <v>129</v>
      </c>
      <c r="J143">
        <v>129</v>
      </c>
      <c r="K143">
        <f t="shared" si="2"/>
        <v>4</v>
      </c>
    </row>
    <row r="144" spans="1:11" x14ac:dyDescent="0.3">
      <c r="A144" t="s">
        <v>152</v>
      </c>
      <c r="B144" s="1">
        <v>45434</v>
      </c>
      <c r="C144" t="s">
        <v>1152</v>
      </c>
      <c r="D144" t="s">
        <v>1649</v>
      </c>
      <c r="E144" t="s">
        <v>1991</v>
      </c>
      <c r="F144" t="s">
        <v>1996</v>
      </c>
      <c r="G144" t="s">
        <v>1997</v>
      </c>
      <c r="H144">
        <v>2</v>
      </c>
      <c r="I144">
        <v>226</v>
      </c>
      <c r="J144">
        <v>452</v>
      </c>
      <c r="K144">
        <f t="shared" si="2"/>
        <v>1</v>
      </c>
    </row>
    <row r="145" spans="1:11" x14ac:dyDescent="0.3">
      <c r="A145" t="s">
        <v>153</v>
      </c>
      <c r="B145" s="1">
        <v>45435</v>
      </c>
      <c r="C145" t="s">
        <v>1153</v>
      </c>
      <c r="D145" t="s">
        <v>1650</v>
      </c>
      <c r="E145" t="s">
        <v>1991</v>
      </c>
      <c r="F145" t="s">
        <v>1992</v>
      </c>
      <c r="G145" t="s">
        <v>1995</v>
      </c>
      <c r="H145">
        <v>4</v>
      </c>
      <c r="I145">
        <v>329</v>
      </c>
      <c r="J145">
        <v>1316</v>
      </c>
      <c r="K145">
        <f t="shared" si="2"/>
        <v>4</v>
      </c>
    </row>
    <row r="146" spans="1:11" x14ac:dyDescent="0.3">
      <c r="A146" t="s">
        <v>154</v>
      </c>
      <c r="B146" s="1">
        <v>45436</v>
      </c>
      <c r="C146" t="s">
        <v>1154</v>
      </c>
      <c r="D146" t="s">
        <v>1651</v>
      </c>
      <c r="E146" t="s">
        <v>1991</v>
      </c>
      <c r="F146" t="s">
        <v>1992</v>
      </c>
      <c r="G146" t="s">
        <v>1995</v>
      </c>
      <c r="H146">
        <v>5</v>
      </c>
      <c r="I146">
        <v>361</v>
      </c>
      <c r="J146">
        <v>1805</v>
      </c>
      <c r="K146">
        <f t="shared" si="2"/>
        <v>2</v>
      </c>
    </row>
    <row r="147" spans="1:11" x14ac:dyDescent="0.3">
      <c r="A147" t="s">
        <v>155</v>
      </c>
      <c r="B147" s="1">
        <v>45437</v>
      </c>
      <c r="C147" t="s">
        <v>1155</v>
      </c>
      <c r="D147" t="s">
        <v>1652</v>
      </c>
      <c r="E147" t="s">
        <v>1991</v>
      </c>
      <c r="F147" t="s">
        <v>1999</v>
      </c>
      <c r="G147" t="s">
        <v>2002</v>
      </c>
      <c r="H147">
        <v>4</v>
      </c>
      <c r="I147">
        <v>44</v>
      </c>
      <c r="J147">
        <v>176</v>
      </c>
      <c r="K147">
        <f t="shared" si="2"/>
        <v>1</v>
      </c>
    </row>
    <row r="148" spans="1:11" x14ac:dyDescent="0.3">
      <c r="A148" t="s">
        <v>156</v>
      </c>
      <c r="B148" s="1">
        <v>45438</v>
      </c>
      <c r="C148" t="s">
        <v>1156</v>
      </c>
      <c r="D148" t="s">
        <v>1653</v>
      </c>
      <c r="E148" t="s">
        <v>1994</v>
      </c>
      <c r="F148" t="s">
        <v>1996</v>
      </c>
      <c r="G148" t="s">
        <v>1997</v>
      </c>
      <c r="H148">
        <v>5</v>
      </c>
      <c r="I148">
        <v>105</v>
      </c>
      <c r="J148">
        <v>525</v>
      </c>
      <c r="K148">
        <f t="shared" si="2"/>
        <v>2</v>
      </c>
    </row>
    <row r="149" spans="1:11" x14ac:dyDescent="0.3">
      <c r="A149" t="s">
        <v>157</v>
      </c>
      <c r="B149" s="1">
        <v>45439</v>
      </c>
      <c r="C149" t="s">
        <v>1157</v>
      </c>
      <c r="D149" t="s">
        <v>1654</v>
      </c>
      <c r="E149" t="s">
        <v>1991</v>
      </c>
      <c r="F149" t="s">
        <v>1992</v>
      </c>
      <c r="G149" t="s">
        <v>1995</v>
      </c>
      <c r="H149">
        <v>2</v>
      </c>
      <c r="I149">
        <v>202</v>
      </c>
      <c r="J149">
        <v>404</v>
      </c>
      <c r="K149">
        <f t="shared" si="2"/>
        <v>1</v>
      </c>
    </row>
    <row r="150" spans="1:11" x14ac:dyDescent="0.3">
      <c r="A150" t="s">
        <v>158</v>
      </c>
      <c r="B150" s="1">
        <v>45440</v>
      </c>
      <c r="C150" t="s">
        <v>1158</v>
      </c>
      <c r="D150" t="s">
        <v>1655</v>
      </c>
      <c r="E150" t="s">
        <v>1991</v>
      </c>
      <c r="F150" t="s">
        <v>1992</v>
      </c>
      <c r="G150" t="s">
        <v>1993</v>
      </c>
      <c r="H150">
        <v>5</v>
      </c>
      <c r="I150">
        <v>274</v>
      </c>
      <c r="J150">
        <v>1370</v>
      </c>
      <c r="K150">
        <f t="shared" si="2"/>
        <v>3</v>
      </c>
    </row>
    <row r="151" spans="1:11" x14ac:dyDescent="0.3">
      <c r="A151" t="s">
        <v>159</v>
      </c>
      <c r="B151" s="1">
        <v>45441</v>
      </c>
      <c r="C151" t="s">
        <v>1159</v>
      </c>
      <c r="D151" t="s">
        <v>1656</v>
      </c>
      <c r="E151" t="s">
        <v>1991</v>
      </c>
      <c r="F151" t="s">
        <v>1996</v>
      </c>
      <c r="G151" t="s">
        <v>1997</v>
      </c>
      <c r="H151">
        <v>3</v>
      </c>
      <c r="I151">
        <v>147</v>
      </c>
      <c r="J151">
        <v>441</v>
      </c>
      <c r="K151">
        <f t="shared" si="2"/>
        <v>1</v>
      </c>
    </row>
    <row r="152" spans="1:11" x14ac:dyDescent="0.3">
      <c r="A152" t="s">
        <v>160</v>
      </c>
      <c r="B152" s="1">
        <v>45442</v>
      </c>
      <c r="C152" t="s">
        <v>1160</v>
      </c>
      <c r="D152" t="s">
        <v>1657</v>
      </c>
      <c r="E152" t="s">
        <v>1991</v>
      </c>
      <c r="F152" t="s">
        <v>1996</v>
      </c>
      <c r="G152" t="s">
        <v>2004</v>
      </c>
      <c r="H152">
        <v>2</v>
      </c>
      <c r="I152">
        <v>105</v>
      </c>
      <c r="J152">
        <v>210</v>
      </c>
      <c r="K152">
        <f t="shared" si="2"/>
        <v>2</v>
      </c>
    </row>
    <row r="153" spans="1:11" x14ac:dyDescent="0.3">
      <c r="A153" t="s">
        <v>161</v>
      </c>
      <c r="B153" s="1">
        <v>45443</v>
      </c>
      <c r="C153" t="s">
        <v>1161</v>
      </c>
      <c r="D153" t="s">
        <v>1658</v>
      </c>
      <c r="E153" t="s">
        <v>1991</v>
      </c>
      <c r="F153" t="s">
        <v>1999</v>
      </c>
      <c r="G153" t="s">
        <v>2002</v>
      </c>
      <c r="H153">
        <v>4</v>
      </c>
      <c r="I153">
        <v>16</v>
      </c>
      <c r="J153">
        <v>64</v>
      </c>
      <c r="K153">
        <f t="shared" si="2"/>
        <v>2</v>
      </c>
    </row>
    <row r="154" spans="1:11" x14ac:dyDescent="0.3">
      <c r="A154" t="s">
        <v>162</v>
      </c>
      <c r="B154" s="1">
        <v>45444</v>
      </c>
      <c r="C154" t="s">
        <v>1162</v>
      </c>
      <c r="D154" t="s">
        <v>1659</v>
      </c>
      <c r="E154" t="s">
        <v>1991</v>
      </c>
      <c r="F154" t="s">
        <v>1999</v>
      </c>
      <c r="G154" t="s">
        <v>2002</v>
      </c>
      <c r="H154">
        <v>5</v>
      </c>
      <c r="I154">
        <v>32</v>
      </c>
      <c r="J154">
        <v>160</v>
      </c>
      <c r="K154">
        <f t="shared" si="2"/>
        <v>1</v>
      </c>
    </row>
    <row r="155" spans="1:11" x14ac:dyDescent="0.3">
      <c r="A155" t="s">
        <v>163</v>
      </c>
      <c r="B155" s="1">
        <v>45445</v>
      </c>
      <c r="C155" t="s">
        <v>1163</v>
      </c>
      <c r="D155" t="s">
        <v>1660</v>
      </c>
      <c r="E155" t="s">
        <v>1994</v>
      </c>
      <c r="F155" t="s">
        <v>1999</v>
      </c>
      <c r="G155" t="s">
        <v>2002</v>
      </c>
      <c r="H155">
        <v>2</v>
      </c>
      <c r="I155">
        <v>41</v>
      </c>
      <c r="J155">
        <v>82</v>
      </c>
      <c r="K155">
        <f t="shared" si="2"/>
        <v>3</v>
      </c>
    </row>
    <row r="156" spans="1:11" x14ac:dyDescent="0.3">
      <c r="A156" t="s">
        <v>164</v>
      </c>
      <c r="B156" s="1">
        <v>45446</v>
      </c>
      <c r="C156" t="s">
        <v>1164</v>
      </c>
      <c r="D156" t="s">
        <v>1661</v>
      </c>
      <c r="E156" t="s">
        <v>1994</v>
      </c>
      <c r="F156" t="s">
        <v>1996</v>
      </c>
      <c r="G156" t="s">
        <v>1997</v>
      </c>
      <c r="H156">
        <v>3</v>
      </c>
      <c r="I156">
        <v>206</v>
      </c>
      <c r="J156">
        <v>618</v>
      </c>
      <c r="K156">
        <f t="shared" si="2"/>
        <v>2</v>
      </c>
    </row>
    <row r="157" spans="1:11" x14ac:dyDescent="0.3">
      <c r="A157" t="s">
        <v>165</v>
      </c>
      <c r="B157" s="1">
        <v>45447</v>
      </c>
      <c r="C157" t="s">
        <v>1165</v>
      </c>
      <c r="D157" t="s">
        <v>1662</v>
      </c>
      <c r="E157" t="s">
        <v>1994</v>
      </c>
      <c r="F157" t="s">
        <v>1992</v>
      </c>
      <c r="G157" t="s">
        <v>1995</v>
      </c>
      <c r="H157">
        <v>2</v>
      </c>
      <c r="I157">
        <v>324</v>
      </c>
      <c r="J157">
        <v>648</v>
      </c>
      <c r="K157">
        <f t="shared" si="2"/>
        <v>2</v>
      </c>
    </row>
    <row r="158" spans="1:11" x14ac:dyDescent="0.3">
      <c r="A158" t="s">
        <v>166</v>
      </c>
      <c r="B158" s="1">
        <v>45448</v>
      </c>
      <c r="C158" t="s">
        <v>1166</v>
      </c>
      <c r="D158" t="s">
        <v>1663</v>
      </c>
      <c r="E158" t="s">
        <v>1994</v>
      </c>
      <c r="F158" t="s">
        <v>1996</v>
      </c>
      <c r="G158" t="s">
        <v>1997</v>
      </c>
      <c r="H158">
        <v>4</v>
      </c>
      <c r="I158">
        <v>270</v>
      </c>
      <c r="J158">
        <v>1080</v>
      </c>
      <c r="K158">
        <f t="shared" si="2"/>
        <v>1</v>
      </c>
    </row>
    <row r="159" spans="1:11" x14ac:dyDescent="0.3">
      <c r="A159" t="s">
        <v>167</v>
      </c>
      <c r="B159" s="1">
        <v>45449</v>
      </c>
      <c r="C159" t="s">
        <v>1167</v>
      </c>
      <c r="D159" t="s">
        <v>1664</v>
      </c>
      <c r="E159" t="s">
        <v>1991</v>
      </c>
      <c r="F159" t="s">
        <v>1996</v>
      </c>
      <c r="G159" t="s">
        <v>2004</v>
      </c>
      <c r="H159">
        <v>3</v>
      </c>
      <c r="I159">
        <v>209</v>
      </c>
      <c r="J159">
        <v>627</v>
      </c>
      <c r="K159">
        <f t="shared" si="2"/>
        <v>1</v>
      </c>
    </row>
    <row r="160" spans="1:11" x14ac:dyDescent="0.3">
      <c r="A160" t="s">
        <v>168</v>
      </c>
      <c r="B160" s="1">
        <v>45450</v>
      </c>
      <c r="C160" t="s">
        <v>1168</v>
      </c>
      <c r="D160" t="s">
        <v>1665</v>
      </c>
      <c r="E160" t="s">
        <v>1991</v>
      </c>
      <c r="F160" t="s">
        <v>1992</v>
      </c>
      <c r="G160" t="s">
        <v>1993</v>
      </c>
      <c r="H160">
        <v>4</v>
      </c>
      <c r="I160">
        <v>218</v>
      </c>
      <c r="J160">
        <v>872</v>
      </c>
      <c r="K160">
        <f t="shared" si="2"/>
        <v>2</v>
      </c>
    </row>
    <row r="161" spans="1:11" x14ac:dyDescent="0.3">
      <c r="A161" t="s">
        <v>169</v>
      </c>
      <c r="B161" s="1">
        <v>45451</v>
      </c>
      <c r="C161" t="s">
        <v>1169</v>
      </c>
      <c r="D161" t="s">
        <v>1666</v>
      </c>
      <c r="E161" t="s">
        <v>1994</v>
      </c>
      <c r="F161" t="s">
        <v>1992</v>
      </c>
      <c r="G161" t="s">
        <v>1995</v>
      </c>
      <c r="H161">
        <v>4</v>
      </c>
      <c r="I161">
        <v>236</v>
      </c>
      <c r="J161">
        <v>944</v>
      </c>
      <c r="K161">
        <f t="shared" si="2"/>
        <v>1</v>
      </c>
    </row>
    <row r="162" spans="1:11" x14ac:dyDescent="0.3">
      <c r="A162" t="s">
        <v>170</v>
      </c>
      <c r="B162" s="1">
        <v>45452</v>
      </c>
      <c r="C162" t="s">
        <v>1170</v>
      </c>
      <c r="D162" t="s">
        <v>1667</v>
      </c>
      <c r="E162" t="s">
        <v>1991</v>
      </c>
      <c r="F162" t="s">
        <v>1996</v>
      </c>
      <c r="G162" t="s">
        <v>2004</v>
      </c>
      <c r="H162">
        <v>2</v>
      </c>
      <c r="I162">
        <v>168</v>
      </c>
      <c r="J162">
        <v>336</v>
      </c>
      <c r="K162">
        <f t="shared" si="2"/>
        <v>1</v>
      </c>
    </row>
    <row r="163" spans="1:11" x14ac:dyDescent="0.3">
      <c r="A163" t="s">
        <v>171</v>
      </c>
      <c r="B163" s="1">
        <v>45453</v>
      </c>
      <c r="C163" t="s">
        <v>1171</v>
      </c>
      <c r="D163" t="s">
        <v>1668</v>
      </c>
      <c r="E163" t="s">
        <v>1994</v>
      </c>
      <c r="F163" t="s">
        <v>1996</v>
      </c>
      <c r="G163" t="s">
        <v>2004</v>
      </c>
      <c r="H163">
        <v>5</v>
      </c>
      <c r="I163">
        <v>241</v>
      </c>
      <c r="J163">
        <v>1205</v>
      </c>
      <c r="K163">
        <f t="shared" si="2"/>
        <v>3</v>
      </c>
    </row>
    <row r="164" spans="1:11" x14ac:dyDescent="0.3">
      <c r="A164" t="s">
        <v>172</v>
      </c>
      <c r="B164" s="1">
        <v>45454</v>
      </c>
      <c r="C164" t="s">
        <v>1172</v>
      </c>
      <c r="D164" t="s">
        <v>1669</v>
      </c>
      <c r="E164" t="s">
        <v>1994</v>
      </c>
      <c r="F164" t="s">
        <v>1992</v>
      </c>
      <c r="G164" t="s">
        <v>1998</v>
      </c>
      <c r="H164">
        <v>2</v>
      </c>
      <c r="I164">
        <v>419</v>
      </c>
      <c r="J164">
        <v>838</v>
      </c>
      <c r="K164">
        <f t="shared" si="2"/>
        <v>2</v>
      </c>
    </row>
    <row r="165" spans="1:11" x14ac:dyDescent="0.3">
      <c r="A165" t="s">
        <v>173</v>
      </c>
      <c r="B165" s="1">
        <v>45455</v>
      </c>
      <c r="C165" t="s">
        <v>1173</v>
      </c>
      <c r="D165" t="s">
        <v>1669</v>
      </c>
      <c r="E165" t="s">
        <v>1991</v>
      </c>
      <c r="F165" t="s">
        <v>1999</v>
      </c>
      <c r="G165" t="s">
        <v>2000</v>
      </c>
      <c r="H165">
        <v>5</v>
      </c>
      <c r="I165">
        <v>22</v>
      </c>
      <c r="J165">
        <v>110</v>
      </c>
      <c r="K165">
        <f t="shared" si="2"/>
        <v>1</v>
      </c>
    </row>
    <row r="166" spans="1:11" x14ac:dyDescent="0.3">
      <c r="A166" t="s">
        <v>174</v>
      </c>
      <c r="B166" s="1">
        <v>45456</v>
      </c>
      <c r="C166" t="s">
        <v>1174</v>
      </c>
      <c r="D166" t="s">
        <v>1670</v>
      </c>
      <c r="E166" t="s">
        <v>1994</v>
      </c>
      <c r="F166" t="s">
        <v>1996</v>
      </c>
      <c r="G166" t="s">
        <v>2004</v>
      </c>
      <c r="H166">
        <v>2</v>
      </c>
      <c r="I166">
        <v>121</v>
      </c>
      <c r="J166">
        <v>242</v>
      </c>
      <c r="K166">
        <f t="shared" si="2"/>
        <v>1</v>
      </c>
    </row>
    <row r="167" spans="1:11" x14ac:dyDescent="0.3">
      <c r="A167" t="s">
        <v>175</v>
      </c>
      <c r="B167" s="1">
        <v>45457</v>
      </c>
      <c r="C167" t="s">
        <v>1175</v>
      </c>
      <c r="D167" t="s">
        <v>1671</v>
      </c>
      <c r="E167" t="s">
        <v>1991</v>
      </c>
      <c r="F167" t="s">
        <v>1992</v>
      </c>
      <c r="G167" t="s">
        <v>1993</v>
      </c>
      <c r="H167">
        <v>2</v>
      </c>
      <c r="I167">
        <v>433</v>
      </c>
      <c r="J167">
        <v>866</v>
      </c>
      <c r="K167">
        <f t="shared" si="2"/>
        <v>1</v>
      </c>
    </row>
    <row r="168" spans="1:11" x14ac:dyDescent="0.3">
      <c r="A168" t="s">
        <v>176</v>
      </c>
      <c r="B168" s="1">
        <v>45458</v>
      </c>
      <c r="C168" t="s">
        <v>1176</v>
      </c>
      <c r="D168" t="s">
        <v>1672</v>
      </c>
      <c r="E168" t="s">
        <v>1991</v>
      </c>
      <c r="F168" t="s">
        <v>1992</v>
      </c>
      <c r="G168" t="s">
        <v>1995</v>
      </c>
      <c r="H168">
        <v>1</v>
      </c>
      <c r="I168">
        <v>248</v>
      </c>
      <c r="J168">
        <v>248</v>
      </c>
      <c r="K168">
        <f t="shared" si="2"/>
        <v>1</v>
      </c>
    </row>
    <row r="169" spans="1:11" x14ac:dyDescent="0.3">
      <c r="A169" t="s">
        <v>177</v>
      </c>
      <c r="B169" s="1">
        <v>45459</v>
      </c>
      <c r="C169" t="s">
        <v>1177</v>
      </c>
      <c r="D169" t="s">
        <v>1673</v>
      </c>
      <c r="E169" t="s">
        <v>1991</v>
      </c>
      <c r="F169" t="s">
        <v>1999</v>
      </c>
      <c r="G169" t="s">
        <v>2002</v>
      </c>
      <c r="H169">
        <v>5</v>
      </c>
      <c r="I169">
        <v>45</v>
      </c>
      <c r="J169">
        <v>225</v>
      </c>
      <c r="K169">
        <f t="shared" si="2"/>
        <v>2</v>
      </c>
    </row>
    <row r="170" spans="1:11" x14ac:dyDescent="0.3">
      <c r="A170" t="s">
        <v>178</v>
      </c>
      <c r="B170" s="1">
        <v>45460</v>
      </c>
      <c r="C170" t="s">
        <v>1178</v>
      </c>
      <c r="D170" t="s">
        <v>1674</v>
      </c>
      <c r="E170" t="s">
        <v>1991</v>
      </c>
      <c r="F170" t="s">
        <v>1992</v>
      </c>
      <c r="G170" t="s">
        <v>1995</v>
      </c>
      <c r="H170">
        <v>5</v>
      </c>
      <c r="I170">
        <v>470</v>
      </c>
      <c r="J170">
        <v>2350</v>
      </c>
      <c r="K170">
        <f t="shared" si="2"/>
        <v>3</v>
      </c>
    </row>
    <row r="171" spans="1:11" x14ac:dyDescent="0.3">
      <c r="A171" t="s">
        <v>179</v>
      </c>
      <c r="B171" s="1">
        <v>45461</v>
      </c>
      <c r="C171" t="s">
        <v>1179</v>
      </c>
      <c r="D171" t="s">
        <v>1675</v>
      </c>
      <c r="E171" t="s">
        <v>1991</v>
      </c>
      <c r="F171" t="s">
        <v>1999</v>
      </c>
      <c r="G171" t="s">
        <v>2002</v>
      </c>
      <c r="H171">
        <v>2</v>
      </c>
      <c r="I171">
        <v>44</v>
      </c>
      <c r="J171">
        <v>88</v>
      </c>
      <c r="K171">
        <f t="shared" si="2"/>
        <v>3</v>
      </c>
    </row>
    <row r="172" spans="1:11" x14ac:dyDescent="0.3">
      <c r="A172" t="s">
        <v>180</v>
      </c>
      <c r="B172" s="1">
        <v>45462</v>
      </c>
      <c r="C172" t="s">
        <v>1180</v>
      </c>
      <c r="D172" t="s">
        <v>1676</v>
      </c>
      <c r="E172" t="s">
        <v>1994</v>
      </c>
      <c r="F172" t="s">
        <v>1992</v>
      </c>
      <c r="G172" t="s">
        <v>1995</v>
      </c>
      <c r="H172">
        <v>2</v>
      </c>
      <c r="I172">
        <v>367</v>
      </c>
      <c r="J172">
        <v>734</v>
      </c>
      <c r="K172">
        <f t="shared" si="2"/>
        <v>4</v>
      </c>
    </row>
    <row r="173" spans="1:11" x14ac:dyDescent="0.3">
      <c r="A173" t="s">
        <v>181</v>
      </c>
      <c r="B173" s="1">
        <v>45463</v>
      </c>
      <c r="C173" t="s">
        <v>1181</v>
      </c>
      <c r="D173" t="s">
        <v>1677</v>
      </c>
      <c r="E173" t="s">
        <v>1994</v>
      </c>
      <c r="F173" t="s">
        <v>1999</v>
      </c>
      <c r="G173" t="s">
        <v>2000</v>
      </c>
      <c r="H173">
        <v>4</v>
      </c>
      <c r="I173">
        <v>26</v>
      </c>
      <c r="J173">
        <v>104</v>
      </c>
      <c r="K173">
        <f t="shared" si="2"/>
        <v>2</v>
      </c>
    </row>
    <row r="174" spans="1:11" x14ac:dyDescent="0.3">
      <c r="A174" t="s">
        <v>182</v>
      </c>
      <c r="B174" s="1">
        <v>45464</v>
      </c>
      <c r="C174" t="s">
        <v>1182</v>
      </c>
      <c r="D174" t="s">
        <v>1678</v>
      </c>
      <c r="E174" t="s">
        <v>1991</v>
      </c>
      <c r="F174" t="s">
        <v>1992</v>
      </c>
      <c r="G174" t="s">
        <v>1998</v>
      </c>
      <c r="H174">
        <v>4</v>
      </c>
      <c r="I174">
        <v>348</v>
      </c>
      <c r="J174">
        <v>1392</v>
      </c>
      <c r="K174">
        <f t="shared" si="2"/>
        <v>2</v>
      </c>
    </row>
    <row r="175" spans="1:11" x14ac:dyDescent="0.3">
      <c r="A175" t="s">
        <v>183</v>
      </c>
      <c r="B175" s="1">
        <v>45465</v>
      </c>
      <c r="C175" t="s">
        <v>1183</v>
      </c>
      <c r="D175" t="s">
        <v>1679</v>
      </c>
      <c r="E175" t="s">
        <v>1994</v>
      </c>
      <c r="F175" t="s">
        <v>1996</v>
      </c>
      <c r="G175" t="s">
        <v>2001</v>
      </c>
      <c r="H175">
        <v>4</v>
      </c>
      <c r="I175">
        <v>224</v>
      </c>
      <c r="J175">
        <v>896</v>
      </c>
      <c r="K175">
        <f t="shared" si="2"/>
        <v>1</v>
      </c>
    </row>
    <row r="176" spans="1:11" x14ac:dyDescent="0.3">
      <c r="A176" t="s">
        <v>184</v>
      </c>
      <c r="B176" s="1">
        <v>45466</v>
      </c>
      <c r="C176" t="s">
        <v>1184</v>
      </c>
      <c r="D176" t="s">
        <v>1680</v>
      </c>
      <c r="E176" t="s">
        <v>1994</v>
      </c>
      <c r="F176" t="s">
        <v>1992</v>
      </c>
      <c r="G176" t="s">
        <v>1998</v>
      </c>
      <c r="H176">
        <v>1</v>
      </c>
      <c r="I176">
        <v>330</v>
      </c>
      <c r="J176">
        <v>330</v>
      </c>
      <c r="K176">
        <f t="shared" si="2"/>
        <v>1</v>
      </c>
    </row>
    <row r="177" spans="1:11" x14ac:dyDescent="0.3">
      <c r="A177" t="s">
        <v>185</v>
      </c>
      <c r="B177" s="1">
        <v>45467</v>
      </c>
      <c r="C177" t="s">
        <v>1185</v>
      </c>
      <c r="D177" t="s">
        <v>1681</v>
      </c>
      <c r="E177" t="s">
        <v>1994</v>
      </c>
      <c r="F177" t="s">
        <v>1999</v>
      </c>
      <c r="G177" t="s">
        <v>2003</v>
      </c>
      <c r="H177">
        <v>3</v>
      </c>
      <c r="I177">
        <v>49</v>
      </c>
      <c r="J177">
        <v>147</v>
      </c>
      <c r="K177">
        <f t="shared" si="2"/>
        <v>3</v>
      </c>
    </row>
    <row r="178" spans="1:11" x14ac:dyDescent="0.3">
      <c r="A178" t="s">
        <v>186</v>
      </c>
      <c r="B178" s="1">
        <v>45468</v>
      </c>
      <c r="C178" t="s">
        <v>1186</v>
      </c>
      <c r="D178" t="s">
        <v>1682</v>
      </c>
      <c r="E178" t="s">
        <v>1994</v>
      </c>
      <c r="F178" t="s">
        <v>1999</v>
      </c>
      <c r="G178" t="s">
        <v>2002</v>
      </c>
      <c r="H178">
        <v>2</v>
      </c>
      <c r="I178">
        <v>24</v>
      </c>
      <c r="J178">
        <v>48</v>
      </c>
      <c r="K178">
        <f t="shared" si="2"/>
        <v>4</v>
      </c>
    </row>
    <row r="179" spans="1:11" x14ac:dyDescent="0.3">
      <c r="A179" t="s">
        <v>187</v>
      </c>
      <c r="B179" s="1">
        <v>45469</v>
      </c>
      <c r="C179" t="s">
        <v>1187</v>
      </c>
      <c r="D179" t="s">
        <v>1683</v>
      </c>
      <c r="E179" t="s">
        <v>1991</v>
      </c>
      <c r="F179" t="s">
        <v>1992</v>
      </c>
      <c r="G179" t="s">
        <v>1995</v>
      </c>
      <c r="H179">
        <v>5</v>
      </c>
      <c r="I179">
        <v>355</v>
      </c>
      <c r="J179">
        <v>1775</v>
      </c>
      <c r="K179">
        <f t="shared" si="2"/>
        <v>2</v>
      </c>
    </row>
    <row r="180" spans="1:11" x14ac:dyDescent="0.3">
      <c r="A180" t="s">
        <v>188</v>
      </c>
      <c r="B180" s="1">
        <v>45470</v>
      </c>
      <c r="C180" t="s">
        <v>1188</v>
      </c>
      <c r="D180" t="s">
        <v>1684</v>
      </c>
      <c r="E180" t="s">
        <v>1994</v>
      </c>
      <c r="F180" t="s">
        <v>1992</v>
      </c>
      <c r="G180" t="s">
        <v>1998</v>
      </c>
      <c r="H180">
        <v>5</v>
      </c>
      <c r="I180">
        <v>358</v>
      </c>
      <c r="J180">
        <v>1790</v>
      </c>
      <c r="K180">
        <f t="shared" si="2"/>
        <v>2</v>
      </c>
    </row>
    <row r="181" spans="1:11" x14ac:dyDescent="0.3">
      <c r="A181" t="s">
        <v>189</v>
      </c>
      <c r="B181" s="1">
        <v>45471</v>
      </c>
      <c r="C181" t="s">
        <v>1189</v>
      </c>
      <c r="D181" t="s">
        <v>1685</v>
      </c>
      <c r="E181" t="s">
        <v>1994</v>
      </c>
      <c r="F181" t="s">
        <v>1992</v>
      </c>
      <c r="G181" t="s">
        <v>1995</v>
      </c>
      <c r="H181">
        <v>4</v>
      </c>
      <c r="I181">
        <v>379</v>
      </c>
      <c r="J181">
        <v>1516</v>
      </c>
      <c r="K181">
        <f t="shared" si="2"/>
        <v>2</v>
      </c>
    </row>
    <row r="182" spans="1:11" x14ac:dyDescent="0.3">
      <c r="A182" t="s">
        <v>190</v>
      </c>
      <c r="B182" s="1">
        <v>45472</v>
      </c>
      <c r="C182" t="s">
        <v>1190</v>
      </c>
      <c r="D182" t="s">
        <v>1686</v>
      </c>
      <c r="E182" t="s">
        <v>1991</v>
      </c>
      <c r="F182" t="s">
        <v>1996</v>
      </c>
      <c r="G182" t="s">
        <v>1997</v>
      </c>
      <c r="H182">
        <v>3</v>
      </c>
      <c r="I182">
        <v>261</v>
      </c>
      <c r="J182">
        <v>783</v>
      </c>
      <c r="K182">
        <f t="shared" si="2"/>
        <v>2</v>
      </c>
    </row>
    <row r="183" spans="1:11" x14ac:dyDescent="0.3">
      <c r="A183" t="s">
        <v>191</v>
      </c>
      <c r="B183" s="1">
        <v>45473</v>
      </c>
      <c r="C183" t="s">
        <v>1191</v>
      </c>
      <c r="D183" t="s">
        <v>1687</v>
      </c>
      <c r="E183" t="s">
        <v>1991</v>
      </c>
      <c r="F183" t="s">
        <v>1996</v>
      </c>
      <c r="G183" t="s">
        <v>2004</v>
      </c>
      <c r="H183">
        <v>2</v>
      </c>
      <c r="I183">
        <v>130</v>
      </c>
      <c r="J183">
        <v>260</v>
      </c>
      <c r="K183">
        <f t="shared" si="2"/>
        <v>3</v>
      </c>
    </row>
    <row r="184" spans="1:11" x14ac:dyDescent="0.3">
      <c r="A184" t="s">
        <v>192</v>
      </c>
      <c r="B184" s="1">
        <v>45474</v>
      </c>
      <c r="C184" t="s">
        <v>1192</v>
      </c>
      <c r="D184" t="s">
        <v>1688</v>
      </c>
      <c r="E184" t="s">
        <v>1994</v>
      </c>
      <c r="F184" t="s">
        <v>1992</v>
      </c>
      <c r="G184" t="s">
        <v>1995</v>
      </c>
      <c r="H184">
        <v>4</v>
      </c>
      <c r="I184">
        <v>282</v>
      </c>
      <c r="J184">
        <v>1128</v>
      </c>
      <c r="K184">
        <f t="shared" si="2"/>
        <v>2</v>
      </c>
    </row>
    <row r="185" spans="1:11" x14ac:dyDescent="0.3">
      <c r="A185" t="s">
        <v>193</v>
      </c>
      <c r="B185" s="1">
        <v>45475</v>
      </c>
      <c r="C185" t="s">
        <v>1193</v>
      </c>
      <c r="D185" t="s">
        <v>1689</v>
      </c>
      <c r="E185" t="s">
        <v>1994</v>
      </c>
      <c r="F185" t="s">
        <v>1992</v>
      </c>
      <c r="G185" t="s">
        <v>1993</v>
      </c>
      <c r="H185">
        <v>1</v>
      </c>
      <c r="I185">
        <v>337</v>
      </c>
      <c r="J185">
        <v>337</v>
      </c>
      <c r="K185">
        <f t="shared" si="2"/>
        <v>1</v>
      </c>
    </row>
    <row r="186" spans="1:11" x14ac:dyDescent="0.3">
      <c r="A186" t="s">
        <v>194</v>
      </c>
      <c r="B186" s="1">
        <v>45476</v>
      </c>
      <c r="C186" t="s">
        <v>1194</v>
      </c>
      <c r="D186" t="s">
        <v>1690</v>
      </c>
      <c r="E186" t="s">
        <v>1994</v>
      </c>
      <c r="F186" t="s">
        <v>1996</v>
      </c>
      <c r="G186" t="s">
        <v>1997</v>
      </c>
      <c r="H186">
        <v>2</v>
      </c>
      <c r="I186">
        <v>176</v>
      </c>
      <c r="J186">
        <v>352</v>
      </c>
      <c r="K186">
        <f t="shared" si="2"/>
        <v>1</v>
      </c>
    </row>
    <row r="187" spans="1:11" x14ac:dyDescent="0.3">
      <c r="A187" t="s">
        <v>195</v>
      </c>
      <c r="B187" s="1">
        <v>45477</v>
      </c>
      <c r="C187" t="s">
        <v>1195</v>
      </c>
      <c r="D187" t="s">
        <v>1691</v>
      </c>
      <c r="E187" t="s">
        <v>1991</v>
      </c>
      <c r="F187" t="s">
        <v>1999</v>
      </c>
      <c r="G187" t="s">
        <v>2002</v>
      </c>
      <c r="H187">
        <v>3</v>
      </c>
      <c r="I187">
        <v>10</v>
      </c>
      <c r="J187">
        <v>30</v>
      </c>
      <c r="K187">
        <f t="shared" si="2"/>
        <v>2</v>
      </c>
    </row>
    <row r="188" spans="1:11" x14ac:dyDescent="0.3">
      <c r="A188" t="s">
        <v>196</v>
      </c>
      <c r="B188" s="1">
        <v>45478</v>
      </c>
      <c r="C188" t="s">
        <v>1196</v>
      </c>
      <c r="D188" t="s">
        <v>1692</v>
      </c>
      <c r="E188" t="s">
        <v>1994</v>
      </c>
      <c r="F188" t="s">
        <v>1996</v>
      </c>
      <c r="G188" t="s">
        <v>2001</v>
      </c>
      <c r="H188">
        <v>2</v>
      </c>
      <c r="I188">
        <v>216</v>
      </c>
      <c r="J188">
        <v>432</v>
      </c>
      <c r="K188">
        <f t="shared" si="2"/>
        <v>4</v>
      </c>
    </row>
    <row r="189" spans="1:11" x14ac:dyDescent="0.3">
      <c r="A189" t="s">
        <v>197</v>
      </c>
      <c r="B189" s="1">
        <v>45479</v>
      </c>
      <c r="C189" t="s">
        <v>1197</v>
      </c>
      <c r="D189" t="s">
        <v>1693</v>
      </c>
      <c r="E189" t="s">
        <v>1991</v>
      </c>
      <c r="F189" t="s">
        <v>1996</v>
      </c>
      <c r="G189" t="s">
        <v>2004</v>
      </c>
      <c r="H189">
        <v>2</v>
      </c>
      <c r="I189">
        <v>290</v>
      </c>
      <c r="J189">
        <v>580</v>
      </c>
      <c r="K189">
        <f t="shared" si="2"/>
        <v>6</v>
      </c>
    </row>
    <row r="190" spans="1:11" x14ac:dyDescent="0.3">
      <c r="A190" t="s">
        <v>198</v>
      </c>
      <c r="B190" s="1">
        <v>45480</v>
      </c>
      <c r="C190" t="s">
        <v>1198</v>
      </c>
      <c r="D190" t="s">
        <v>1694</v>
      </c>
      <c r="E190" t="s">
        <v>1991</v>
      </c>
      <c r="F190" t="s">
        <v>1992</v>
      </c>
      <c r="G190" t="s">
        <v>1995</v>
      </c>
      <c r="H190">
        <v>4</v>
      </c>
      <c r="I190">
        <v>306</v>
      </c>
      <c r="J190">
        <v>1224</v>
      </c>
      <c r="K190">
        <f t="shared" si="2"/>
        <v>2</v>
      </c>
    </row>
    <row r="191" spans="1:11" x14ac:dyDescent="0.3">
      <c r="A191" t="s">
        <v>199</v>
      </c>
      <c r="B191" s="1">
        <v>45481</v>
      </c>
      <c r="C191" t="s">
        <v>1199</v>
      </c>
      <c r="D191" t="s">
        <v>1695</v>
      </c>
      <c r="E191" t="s">
        <v>1994</v>
      </c>
      <c r="F191" t="s">
        <v>1992</v>
      </c>
      <c r="G191" t="s">
        <v>1998</v>
      </c>
      <c r="H191">
        <v>2</v>
      </c>
      <c r="I191">
        <v>301</v>
      </c>
      <c r="J191">
        <v>602</v>
      </c>
      <c r="K191">
        <f t="shared" si="2"/>
        <v>2</v>
      </c>
    </row>
    <row r="192" spans="1:11" x14ac:dyDescent="0.3">
      <c r="A192" t="s">
        <v>200</v>
      </c>
      <c r="B192" s="1">
        <v>45482</v>
      </c>
      <c r="C192" t="s">
        <v>1200</v>
      </c>
      <c r="D192" t="s">
        <v>1696</v>
      </c>
      <c r="E192" t="s">
        <v>1991</v>
      </c>
      <c r="F192" t="s">
        <v>1992</v>
      </c>
      <c r="G192" t="s">
        <v>1993</v>
      </c>
      <c r="H192">
        <v>2</v>
      </c>
      <c r="I192">
        <v>289</v>
      </c>
      <c r="J192">
        <v>578</v>
      </c>
      <c r="K192">
        <f t="shared" si="2"/>
        <v>2</v>
      </c>
    </row>
    <row r="193" spans="1:11" x14ac:dyDescent="0.3">
      <c r="A193" t="s">
        <v>201</v>
      </c>
      <c r="B193" s="1">
        <v>45483</v>
      </c>
      <c r="C193" t="s">
        <v>1201</v>
      </c>
      <c r="D193" t="s">
        <v>1697</v>
      </c>
      <c r="E193" t="s">
        <v>1994</v>
      </c>
      <c r="F193" t="s">
        <v>1999</v>
      </c>
      <c r="G193" t="s">
        <v>2002</v>
      </c>
      <c r="H193">
        <v>1</v>
      </c>
      <c r="I193">
        <v>21</v>
      </c>
      <c r="J193">
        <v>21</v>
      </c>
      <c r="K193">
        <f t="shared" si="2"/>
        <v>1</v>
      </c>
    </row>
    <row r="194" spans="1:11" x14ac:dyDescent="0.3">
      <c r="A194" t="s">
        <v>202</v>
      </c>
      <c r="B194" s="1">
        <v>45484</v>
      </c>
      <c r="C194" t="s">
        <v>1202</v>
      </c>
      <c r="D194" t="s">
        <v>1698</v>
      </c>
      <c r="E194" t="s">
        <v>1994</v>
      </c>
      <c r="F194" t="s">
        <v>1999</v>
      </c>
      <c r="G194" t="s">
        <v>2000</v>
      </c>
      <c r="H194">
        <v>1</v>
      </c>
      <c r="I194">
        <v>48</v>
      </c>
      <c r="J194">
        <v>48</v>
      </c>
      <c r="K194">
        <f t="shared" si="2"/>
        <v>4</v>
      </c>
    </row>
    <row r="195" spans="1:11" x14ac:dyDescent="0.3">
      <c r="A195" t="s">
        <v>203</v>
      </c>
      <c r="B195" s="1">
        <v>45485</v>
      </c>
      <c r="C195" t="s">
        <v>1203</v>
      </c>
      <c r="D195" t="s">
        <v>1699</v>
      </c>
      <c r="E195" t="s">
        <v>1994</v>
      </c>
      <c r="F195" t="s">
        <v>1996</v>
      </c>
      <c r="G195" t="s">
        <v>2001</v>
      </c>
      <c r="H195">
        <v>5</v>
      </c>
      <c r="I195">
        <v>124</v>
      </c>
      <c r="J195">
        <v>620</v>
      </c>
      <c r="K195">
        <f t="shared" ref="K195:K258" si="3">COUNTIF(C195:C1194,C195)</f>
        <v>3</v>
      </c>
    </row>
    <row r="196" spans="1:11" x14ac:dyDescent="0.3">
      <c r="A196" t="s">
        <v>204</v>
      </c>
      <c r="B196" s="1">
        <v>45486</v>
      </c>
      <c r="C196" t="s">
        <v>1204</v>
      </c>
      <c r="D196" t="s">
        <v>1700</v>
      </c>
      <c r="E196" t="s">
        <v>1991</v>
      </c>
      <c r="F196" t="s">
        <v>1996</v>
      </c>
      <c r="G196" t="s">
        <v>1997</v>
      </c>
      <c r="H196">
        <v>3</v>
      </c>
      <c r="I196">
        <v>236</v>
      </c>
      <c r="J196">
        <v>708</v>
      </c>
      <c r="K196">
        <f t="shared" si="3"/>
        <v>1</v>
      </c>
    </row>
    <row r="197" spans="1:11" x14ac:dyDescent="0.3">
      <c r="A197" t="s">
        <v>205</v>
      </c>
      <c r="B197" s="1">
        <v>45487</v>
      </c>
      <c r="C197" t="s">
        <v>1205</v>
      </c>
      <c r="D197" t="s">
        <v>1701</v>
      </c>
      <c r="E197" t="s">
        <v>1994</v>
      </c>
      <c r="F197" t="s">
        <v>1996</v>
      </c>
      <c r="G197" t="s">
        <v>1997</v>
      </c>
      <c r="H197">
        <v>1</v>
      </c>
      <c r="I197">
        <v>217</v>
      </c>
      <c r="J197">
        <v>217</v>
      </c>
      <c r="K197">
        <f t="shared" si="3"/>
        <v>2</v>
      </c>
    </row>
    <row r="198" spans="1:11" x14ac:dyDescent="0.3">
      <c r="A198" t="s">
        <v>206</v>
      </c>
      <c r="B198" s="1">
        <v>45488</v>
      </c>
      <c r="C198" t="s">
        <v>1206</v>
      </c>
      <c r="D198" t="s">
        <v>1702</v>
      </c>
      <c r="E198" t="s">
        <v>1991</v>
      </c>
      <c r="F198" t="s">
        <v>1999</v>
      </c>
      <c r="G198" t="s">
        <v>2002</v>
      </c>
      <c r="H198">
        <v>3</v>
      </c>
      <c r="I198">
        <v>11</v>
      </c>
      <c r="J198">
        <v>33</v>
      </c>
      <c r="K198">
        <f t="shared" si="3"/>
        <v>4</v>
      </c>
    </row>
    <row r="199" spans="1:11" x14ac:dyDescent="0.3">
      <c r="A199" t="s">
        <v>207</v>
      </c>
      <c r="B199" s="1">
        <v>45489</v>
      </c>
      <c r="C199" t="s">
        <v>1207</v>
      </c>
      <c r="D199" t="s">
        <v>1703</v>
      </c>
      <c r="E199" t="s">
        <v>1994</v>
      </c>
      <c r="F199" t="s">
        <v>1992</v>
      </c>
      <c r="G199" t="s">
        <v>1998</v>
      </c>
      <c r="H199">
        <v>4</v>
      </c>
      <c r="I199">
        <v>498</v>
      </c>
      <c r="J199">
        <v>1992</v>
      </c>
      <c r="K199">
        <f t="shared" si="3"/>
        <v>1</v>
      </c>
    </row>
    <row r="200" spans="1:11" x14ac:dyDescent="0.3">
      <c r="A200" t="s">
        <v>208</v>
      </c>
      <c r="B200" s="1">
        <v>45490</v>
      </c>
      <c r="C200" t="s">
        <v>1208</v>
      </c>
      <c r="D200" t="s">
        <v>1704</v>
      </c>
      <c r="E200" t="s">
        <v>1994</v>
      </c>
      <c r="F200" t="s">
        <v>1999</v>
      </c>
      <c r="G200" t="s">
        <v>2003</v>
      </c>
      <c r="H200">
        <v>4</v>
      </c>
      <c r="I200">
        <v>29</v>
      </c>
      <c r="J200">
        <v>116</v>
      </c>
      <c r="K200">
        <f t="shared" si="3"/>
        <v>3</v>
      </c>
    </row>
    <row r="201" spans="1:11" x14ac:dyDescent="0.3">
      <c r="A201" t="s">
        <v>209</v>
      </c>
      <c r="B201" s="1">
        <v>45491</v>
      </c>
      <c r="C201" t="s">
        <v>1209</v>
      </c>
      <c r="D201" t="s">
        <v>1705</v>
      </c>
      <c r="E201" t="s">
        <v>1991</v>
      </c>
      <c r="F201" t="s">
        <v>1996</v>
      </c>
      <c r="G201" t="s">
        <v>1997</v>
      </c>
      <c r="H201">
        <v>4</v>
      </c>
      <c r="I201">
        <v>265</v>
      </c>
      <c r="J201">
        <v>1060</v>
      </c>
      <c r="K201">
        <f t="shared" si="3"/>
        <v>2</v>
      </c>
    </row>
    <row r="202" spans="1:11" x14ac:dyDescent="0.3">
      <c r="A202" t="s">
        <v>210</v>
      </c>
      <c r="B202" s="1">
        <v>45492</v>
      </c>
      <c r="C202" t="s">
        <v>1210</v>
      </c>
      <c r="D202" t="s">
        <v>1706</v>
      </c>
      <c r="E202" t="s">
        <v>1994</v>
      </c>
      <c r="F202" t="s">
        <v>1992</v>
      </c>
      <c r="G202" t="s">
        <v>1995</v>
      </c>
      <c r="H202">
        <v>4</v>
      </c>
      <c r="I202">
        <v>205</v>
      </c>
      <c r="J202">
        <v>820</v>
      </c>
      <c r="K202">
        <f t="shared" si="3"/>
        <v>1</v>
      </c>
    </row>
    <row r="203" spans="1:11" x14ac:dyDescent="0.3">
      <c r="A203" t="s">
        <v>211</v>
      </c>
      <c r="B203" s="1">
        <v>45493</v>
      </c>
      <c r="C203" t="s">
        <v>1211</v>
      </c>
      <c r="D203" t="s">
        <v>1707</v>
      </c>
      <c r="E203" t="s">
        <v>1991</v>
      </c>
      <c r="F203" t="s">
        <v>1999</v>
      </c>
      <c r="G203" t="s">
        <v>2003</v>
      </c>
      <c r="H203">
        <v>4</v>
      </c>
      <c r="I203">
        <v>30</v>
      </c>
      <c r="J203">
        <v>120</v>
      </c>
      <c r="K203">
        <f t="shared" si="3"/>
        <v>3</v>
      </c>
    </row>
    <row r="204" spans="1:11" x14ac:dyDescent="0.3">
      <c r="A204" t="s">
        <v>212</v>
      </c>
      <c r="B204" s="1">
        <v>45494</v>
      </c>
      <c r="C204" t="s">
        <v>1212</v>
      </c>
      <c r="D204" t="s">
        <v>1708</v>
      </c>
      <c r="E204" t="s">
        <v>1994</v>
      </c>
      <c r="F204" t="s">
        <v>1992</v>
      </c>
      <c r="G204" t="s">
        <v>1993</v>
      </c>
      <c r="H204">
        <v>3</v>
      </c>
      <c r="I204">
        <v>223</v>
      </c>
      <c r="J204">
        <v>669</v>
      </c>
      <c r="K204">
        <f t="shared" si="3"/>
        <v>1</v>
      </c>
    </row>
    <row r="205" spans="1:11" x14ac:dyDescent="0.3">
      <c r="A205" t="s">
        <v>213</v>
      </c>
      <c r="B205" s="1">
        <v>45495</v>
      </c>
      <c r="C205" t="s">
        <v>1213</v>
      </c>
      <c r="D205" t="s">
        <v>1708</v>
      </c>
      <c r="E205" t="s">
        <v>1994</v>
      </c>
      <c r="F205" t="s">
        <v>1999</v>
      </c>
      <c r="G205" t="s">
        <v>2000</v>
      </c>
      <c r="H205">
        <v>3</v>
      </c>
      <c r="I205">
        <v>12</v>
      </c>
      <c r="J205">
        <v>36</v>
      </c>
      <c r="K205">
        <f t="shared" si="3"/>
        <v>4</v>
      </c>
    </row>
    <row r="206" spans="1:11" x14ac:dyDescent="0.3">
      <c r="A206" t="s">
        <v>214</v>
      </c>
      <c r="B206" s="1">
        <v>45496</v>
      </c>
      <c r="C206" t="s">
        <v>1214</v>
      </c>
      <c r="D206" t="s">
        <v>1709</v>
      </c>
      <c r="E206" t="s">
        <v>1994</v>
      </c>
      <c r="F206" t="s">
        <v>1992</v>
      </c>
      <c r="G206" t="s">
        <v>1993</v>
      </c>
      <c r="H206">
        <v>1</v>
      </c>
      <c r="I206">
        <v>404</v>
      </c>
      <c r="J206">
        <v>404</v>
      </c>
      <c r="K206">
        <f t="shared" si="3"/>
        <v>1</v>
      </c>
    </row>
    <row r="207" spans="1:11" x14ac:dyDescent="0.3">
      <c r="A207" t="s">
        <v>215</v>
      </c>
      <c r="B207" s="1">
        <v>45497</v>
      </c>
      <c r="C207" t="s">
        <v>1215</v>
      </c>
      <c r="D207" t="s">
        <v>1710</v>
      </c>
      <c r="E207" t="s">
        <v>1994</v>
      </c>
      <c r="F207" t="s">
        <v>1999</v>
      </c>
      <c r="G207" t="s">
        <v>2003</v>
      </c>
      <c r="H207">
        <v>3</v>
      </c>
      <c r="I207">
        <v>18</v>
      </c>
      <c r="J207">
        <v>54</v>
      </c>
      <c r="K207">
        <f t="shared" si="3"/>
        <v>3</v>
      </c>
    </row>
    <row r="208" spans="1:11" x14ac:dyDescent="0.3">
      <c r="A208" t="s">
        <v>216</v>
      </c>
      <c r="B208" s="1">
        <v>45498</v>
      </c>
      <c r="C208" t="s">
        <v>1216</v>
      </c>
      <c r="D208" t="s">
        <v>1711</v>
      </c>
      <c r="E208" t="s">
        <v>1991</v>
      </c>
      <c r="F208" t="s">
        <v>1992</v>
      </c>
      <c r="G208" t="s">
        <v>1998</v>
      </c>
      <c r="H208">
        <v>2</v>
      </c>
      <c r="I208">
        <v>223</v>
      </c>
      <c r="J208">
        <v>446</v>
      </c>
      <c r="K208">
        <f t="shared" si="3"/>
        <v>3</v>
      </c>
    </row>
    <row r="209" spans="1:11" x14ac:dyDescent="0.3">
      <c r="A209" t="s">
        <v>217</v>
      </c>
      <c r="B209" s="1">
        <v>45499</v>
      </c>
      <c r="C209" t="s">
        <v>1217</v>
      </c>
      <c r="D209" t="s">
        <v>1712</v>
      </c>
      <c r="E209" t="s">
        <v>1994</v>
      </c>
      <c r="F209" t="s">
        <v>1996</v>
      </c>
      <c r="G209" t="s">
        <v>2004</v>
      </c>
      <c r="H209">
        <v>2</v>
      </c>
      <c r="I209">
        <v>281</v>
      </c>
      <c r="J209">
        <v>562</v>
      </c>
      <c r="K209">
        <f t="shared" si="3"/>
        <v>1</v>
      </c>
    </row>
    <row r="210" spans="1:11" x14ac:dyDescent="0.3">
      <c r="A210" t="s">
        <v>218</v>
      </c>
      <c r="B210" s="1">
        <v>45500</v>
      </c>
      <c r="C210" t="s">
        <v>1218</v>
      </c>
      <c r="D210" t="s">
        <v>1713</v>
      </c>
      <c r="E210" t="s">
        <v>1994</v>
      </c>
      <c r="F210" t="s">
        <v>1992</v>
      </c>
      <c r="G210" t="s">
        <v>1993</v>
      </c>
      <c r="H210">
        <v>4</v>
      </c>
      <c r="I210">
        <v>400</v>
      </c>
      <c r="J210">
        <v>1600</v>
      </c>
      <c r="K210">
        <f t="shared" si="3"/>
        <v>2</v>
      </c>
    </row>
    <row r="211" spans="1:11" x14ac:dyDescent="0.3">
      <c r="A211" t="s">
        <v>219</v>
      </c>
      <c r="B211" s="1">
        <v>45501</v>
      </c>
      <c r="C211" t="s">
        <v>1219</v>
      </c>
      <c r="D211" t="s">
        <v>1714</v>
      </c>
      <c r="E211" t="s">
        <v>1994</v>
      </c>
      <c r="F211" t="s">
        <v>1999</v>
      </c>
      <c r="G211" t="s">
        <v>2002</v>
      </c>
      <c r="H211">
        <v>1</v>
      </c>
      <c r="I211">
        <v>33</v>
      </c>
      <c r="J211">
        <v>33</v>
      </c>
      <c r="K211">
        <f t="shared" si="3"/>
        <v>3</v>
      </c>
    </row>
    <row r="212" spans="1:11" x14ac:dyDescent="0.3">
      <c r="A212" t="s">
        <v>220</v>
      </c>
      <c r="B212" s="1">
        <v>45502</v>
      </c>
      <c r="C212" t="s">
        <v>1220</v>
      </c>
      <c r="D212" t="s">
        <v>1715</v>
      </c>
      <c r="E212" t="s">
        <v>1991</v>
      </c>
      <c r="F212" t="s">
        <v>1996</v>
      </c>
      <c r="G212" t="s">
        <v>2001</v>
      </c>
      <c r="H212">
        <v>4</v>
      </c>
      <c r="I212">
        <v>250</v>
      </c>
      <c r="J212">
        <v>1000</v>
      </c>
      <c r="K212">
        <f t="shared" si="3"/>
        <v>1</v>
      </c>
    </row>
    <row r="213" spans="1:11" x14ac:dyDescent="0.3">
      <c r="A213" t="s">
        <v>221</v>
      </c>
      <c r="B213" s="1">
        <v>45503</v>
      </c>
      <c r="C213" t="s">
        <v>1221</v>
      </c>
      <c r="D213" t="s">
        <v>1716</v>
      </c>
      <c r="E213" t="s">
        <v>1994</v>
      </c>
      <c r="F213" t="s">
        <v>1996</v>
      </c>
      <c r="G213" t="s">
        <v>2004</v>
      </c>
      <c r="H213">
        <v>4</v>
      </c>
      <c r="I213">
        <v>117</v>
      </c>
      <c r="J213">
        <v>468</v>
      </c>
      <c r="K213">
        <f t="shared" si="3"/>
        <v>2</v>
      </c>
    </row>
    <row r="214" spans="1:11" x14ac:dyDescent="0.3">
      <c r="A214" t="s">
        <v>222</v>
      </c>
      <c r="B214" s="1">
        <v>45504</v>
      </c>
      <c r="C214" t="s">
        <v>1222</v>
      </c>
      <c r="D214" t="s">
        <v>1717</v>
      </c>
      <c r="E214" t="s">
        <v>1991</v>
      </c>
      <c r="F214" t="s">
        <v>1996</v>
      </c>
      <c r="G214" t="s">
        <v>2004</v>
      </c>
      <c r="H214">
        <v>1</v>
      </c>
      <c r="I214">
        <v>126</v>
      </c>
      <c r="J214">
        <v>126</v>
      </c>
      <c r="K214">
        <f t="shared" si="3"/>
        <v>1</v>
      </c>
    </row>
    <row r="215" spans="1:11" x14ac:dyDescent="0.3">
      <c r="A215" t="s">
        <v>223</v>
      </c>
      <c r="B215" s="1">
        <v>45505</v>
      </c>
      <c r="C215" t="s">
        <v>1223</v>
      </c>
      <c r="D215" t="s">
        <v>1718</v>
      </c>
      <c r="E215" t="s">
        <v>1994</v>
      </c>
      <c r="F215" t="s">
        <v>1996</v>
      </c>
      <c r="G215" t="s">
        <v>1997</v>
      </c>
      <c r="H215">
        <v>4</v>
      </c>
      <c r="I215">
        <v>217</v>
      </c>
      <c r="J215">
        <v>868</v>
      </c>
      <c r="K215">
        <f t="shared" si="3"/>
        <v>2</v>
      </c>
    </row>
    <row r="216" spans="1:11" x14ac:dyDescent="0.3">
      <c r="A216" t="s">
        <v>224</v>
      </c>
      <c r="B216" s="1">
        <v>45506</v>
      </c>
      <c r="C216" t="s">
        <v>1224</v>
      </c>
      <c r="D216" t="s">
        <v>1719</v>
      </c>
      <c r="E216" t="s">
        <v>1994</v>
      </c>
      <c r="F216" t="s">
        <v>1996</v>
      </c>
      <c r="G216" t="s">
        <v>2001</v>
      </c>
      <c r="H216">
        <v>4</v>
      </c>
      <c r="I216">
        <v>108</v>
      </c>
      <c r="J216">
        <v>432</v>
      </c>
      <c r="K216">
        <f t="shared" si="3"/>
        <v>2</v>
      </c>
    </row>
    <row r="217" spans="1:11" x14ac:dyDescent="0.3">
      <c r="A217" t="s">
        <v>225</v>
      </c>
      <c r="B217" s="1">
        <v>45507</v>
      </c>
      <c r="C217" t="s">
        <v>1225</v>
      </c>
      <c r="D217" t="s">
        <v>1720</v>
      </c>
      <c r="E217" t="s">
        <v>1991</v>
      </c>
      <c r="F217" t="s">
        <v>1999</v>
      </c>
      <c r="G217" t="s">
        <v>2000</v>
      </c>
      <c r="H217">
        <v>1</v>
      </c>
      <c r="I217">
        <v>44</v>
      </c>
      <c r="J217">
        <v>44</v>
      </c>
      <c r="K217">
        <f t="shared" si="3"/>
        <v>5</v>
      </c>
    </row>
    <row r="218" spans="1:11" x14ac:dyDescent="0.3">
      <c r="A218" t="s">
        <v>226</v>
      </c>
      <c r="B218" s="1">
        <v>45508</v>
      </c>
      <c r="C218" t="s">
        <v>1226</v>
      </c>
      <c r="D218" t="s">
        <v>1721</v>
      </c>
      <c r="E218" t="s">
        <v>1991</v>
      </c>
      <c r="F218" t="s">
        <v>1996</v>
      </c>
      <c r="G218" t="s">
        <v>2004</v>
      </c>
      <c r="H218">
        <v>3</v>
      </c>
      <c r="I218">
        <v>112</v>
      </c>
      <c r="J218">
        <v>336</v>
      </c>
      <c r="K218">
        <f t="shared" si="3"/>
        <v>1</v>
      </c>
    </row>
    <row r="219" spans="1:11" x14ac:dyDescent="0.3">
      <c r="A219" t="s">
        <v>227</v>
      </c>
      <c r="B219" s="1">
        <v>45509</v>
      </c>
      <c r="C219" t="s">
        <v>1227</v>
      </c>
      <c r="D219" t="s">
        <v>1722</v>
      </c>
      <c r="E219" t="s">
        <v>1991</v>
      </c>
      <c r="F219" t="s">
        <v>1996</v>
      </c>
      <c r="G219" t="s">
        <v>2001</v>
      </c>
      <c r="H219">
        <v>4</v>
      </c>
      <c r="I219">
        <v>112</v>
      </c>
      <c r="J219">
        <v>448</v>
      </c>
      <c r="K219">
        <f t="shared" si="3"/>
        <v>1</v>
      </c>
    </row>
    <row r="220" spans="1:11" x14ac:dyDescent="0.3">
      <c r="A220" t="s">
        <v>228</v>
      </c>
      <c r="B220" s="1">
        <v>45510</v>
      </c>
      <c r="C220" t="s">
        <v>1228</v>
      </c>
      <c r="D220" t="s">
        <v>1723</v>
      </c>
      <c r="E220" t="s">
        <v>1991</v>
      </c>
      <c r="F220" t="s">
        <v>1992</v>
      </c>
      <c r="G220" t="s">
        <v>1993</v>
      </c>
      <c r="H220">
        <v>2</v>
      </c>
      <c r="I220">
        <v>392</v>
      </c>
      <c r="J220">
        <v>784</v>
      </c>
      <c r="K220">
        <f t="shared" si="3"/>
        <v>2</v>
      </c>
    </row>
    <row r="221" spans="1:11" x14ac:dyDescent="0.3">
      <c r="A221" t="s">
        <v>229</v>
      </c>
      <c r="B221" s="1">
        <v>45511</v>
      </c>
      <c r="C221" t="s">
        <v>1229</v>
      </c>
      <c r="D221" t="s">
        <v>1724</v>
      </c>
      <c r="E221" t="s">
        <v>1991</v>
      </c>
      <c r="F221" t="s">
        <v>1999</v>
      </c>
      <c r="G221" t="s">
        <v>2003</v>
      </c>
      <c r="H221">
        <v>5</v>
      </c>
      <c r="I221">
        <v>47</v>
      </c>
      <c r="J221">
        <v>235</v>
      </c>
      <c r="K221">
        <f t="shared" si="3"/>
        <v>3</v>
      </c>
    </row>
    <row r="222" spans="1:11" x14ac:dyDescent="0.3">
      <c r="A222" t="s">
        <v>230</v>
      </c>
      <c r="B222" s="1">
        <v>45512</v>
      </c>
      <c r="C222" t="s">
        <v>1230</v>
      </c>
      <c r="D222" t="s">
        <v>1725</v>
      </c>
      <c r="E222" t="s">
        <v>1994</v>
      </c>
      <c r="F222" t="s">
        <v>1992</v>
      </c>
      <c r="G222" t="s">
        <v>1995</v>
      </c>
      <c r="H222">
        <v>5</v>
      </c>
      <c r="I222">
        <v>212</v>
      </c>
      <c r="J222">
        <v>1060</v>
      </c>
      <c r="K222">
        <f t="shared" si="3"/>
        <v>1</v>
      </c>
    </row>
    <row r="223" spans="1:11" x14ac:dyDescent="0.3">
      <c r="A223" t="s">
        <v>231</v>
      </c>
      <c r="B223" s="1">
        <v>45513</v>
      </c>
      <c r="C223" t="s">
        <v>1231</v>
      </c>
      <c r="D223" t="s">
        <v>1726</v>
      </c>
      <c r="E223" t="s">
        <v>1994</v>
      </c>
      <c r="F223" t="s">
        <v>1999</v>
      </c>
      <c r="G223" t="s">
        <v>2002</v>
      </c>
      <c r="H223">
        <v>5</v>
      </c>
      <c r="I223">
        <v>15</v>
      </c>
      <c r="J223">
        <v>75</v>
      </c>
      <c r="K223">
        <f t="shared" si="3"/>
        <v>1</v>
      </c>
    </row>
    <row r="224" spans="1:11" x14ac:dyDescent="0.3">
      <c r="A224" t="s">
        <v>232</v>
      </c>
      <c r="B224" s="1">
        <v>45514</v>
      </c>
      <c r="C224" t="s">
        <v>1232</v>
      </c>
      <c r="D224" t="s">
        <v>1727</v>
      </c>
      <c r="E224" t="s">
        <v>1994</v>
      </c>
      <c r="F224" t="s">
        <v>1996</v>
      </c>
      <c r="G224" t="s">
        <v>2004</v>
      </c>
      <c r="H224">
        <v>1</v>
      </c>
      <c r="I224">
        <v>245</v>
      </c>
      <c r="J224">
        <v>245</v>
      </c>
      <c r="K224">
        <f t="shared" si="3"/>
        <v>1</v>
      </c>
    </row>
    <row r="225" spans="1:11" x14ac:dyDescent="0.3">
      <c r="A225" t="s">
        <v>233</v>
      </c>
      <c r="B225" s="1">
        <v>45515</v>
      </c>
      <c r="C225" t="s">
        <v>1233</v>
      </c>
      <c r="D225" t="s">
        <v>1728</v>
      </c>
      <c r="E225" t="s">
        <v>1991</v>
      </c>
      <c r="F225" t="s">
        <v>1992</v>
      </c>
      <c r="G225" t="s">
        <v>1993</v>
      </c>
      <c r="H225">
        <v>5</v>
      </c>
      <c r="I225">
        <v>452</v>
      </c>
      <c r="J225">
        <v>2260</v>
      </c>
      <c r="K225">
        <f t="shared" si="3"/>
        <v>2</v>
      </c>
    </row>
    <row r="226" spans="1:11" x14ac:dyDescent="0.3">
      <c r="A226" t="s">
        <v>234</v>
      </c>
      <c r="B226" s="1">
        <v>45516</v>
      </c>
      <c r="C226" t="s">
        <v>1234</v>
      </c>
      <c r="D226" t="s">
        <v>1729</v>
      </c>
      <c r="E226" t="s">
        <v>1991</v>
      </c>
      <c r="F226" t="s">
        <v>1996</v>
      </c>
      <c r="G226" t="s">
        <v>2004</v>
      </c>
      <c r="H226">
        <v>3</v>
      </c>
      <c r="I226">
        <v>204</v>
      </c>
      <c r="J226">
        <v>612</v>
      </c>
      <c r="K226">
        <f t="shared" si="3"/>
        <v>2</v>
      </c>
    </row>
    <row r="227" spans="1:11" x14ac:dyDescent="0.3">
      <c r="A227" t="s">
        <v>235</v>
      </c>
      <c r="B227" s="1">
        <v>45517</v>
      </c>
      <c r="C227" t="s">
        <v>1235</v>
      </c>
      <c r="D227" t="s">
        <v>1730</v>
      </c>
      <c r="E227" t="s">
        <v>1994</v>
      </c>
      <c r="F227" t="s">
        <v>1999</v>
      </c>
      <c r="G227" t="s">
        <v>2002</v>
      </c>
      <c r="H227">
        <v>1</v>
      </c>
      <c r="I227">
        <v>17</v>
      </c>
      <c r="J227">
        <v>17</v>
      </c>
      <c r="K227">
        <f t="shared" si="3"/>
        <v>1</v>
      </c>
    </row>
    <row r="228" spans="1:11" x14ac:dyDescent="0.3">
      <c r="A228" t="s">
        <v>236</v>
      </c>
      <c r="B228" s="1">
        <v>45518</v>
      </c>
      <c r="C228" t="s">
        <v>1236</v>
      </c>
      <c r="D228" t="s">
        <v>1731</v>
      </c>
      <c r="E228" t="s">
        <v>1994</v>
      </c>
      <c r="F228" t="s">
        <v>1992</v>
      </c>
      <c r="G228" t="s">
        <v>1995</v>
      </c>
      <c r="H228">
        <v>2</v>
      </c>
      <c r="I228">
        <v>354</v>
      </c>
      <c r="J228">
        <v>708</v>
      </c>
      <c r="K228">
        <f t="shared" si="3"/>
        <v>1</v>
      </c>
    </row>
    <row r="229" spans="1:11" x14ac:dyDescent="0.3">
      <c r="A229" t="s">
        <v>237</v>
      </c>
      <c r="B229" s="1">
        <v>45519</v>
      </c>
      <c r="C229" t="s">
        <v>1237</v>
      </c>
      <c r="D229" t="s">
        <v>1731</v>
      </c>
      <c r="E229" t="s">
        <v>1994</v>
      </c>
      <c r="F229" t="s">
        <v>1999</v>
      </c>
      <c r="G229" t="s">
        <v>2002</v>
      </c>
      <c r="H229">
        <v>2</v>
      </c>
      <c r="I229">
        <v>48</v>
      </c>
      <c r="J229">
        <v>96</v>
      </c>
      <c r="K229">
        <f t="shared" si="3"/>
        <v>3</v>
      </c>
    </row>
    <row r="230" spans="1:11" x14ac:dyDescent="0.3">
      <c r="A230" t="s">
        <v>238</v>
      </c>
      <c r="B230" s="1">
        <v>45520</v>
      </c>
      <c r="C230" t="s">
        <v>1238</v>
      </c>
      <c r="D230" t="s">
        <v>1732</v>
      </c>
      <c r="E230" t="s">
        <v>1991</v>
      </c>
      <c r="F230" t="s">
        <v>1996</v>
      </c>
      <c r="G230" t="s">
        <v>2004</v>
      </c>
      <c r="H230">
        <v>1</v>
      </c>
      <c r="I230">
        <v>146</v>
      </c>
      <c r="J230">
        <v>146</v>
      </c>
      <c r="K230">
        <f t="shared" si="3"/>
        <v>2</v>
      </c>
    </row>
    <row r="231" spans="1:11" x14ac:dyDescent="0.3">
      <c r="A231" t="s">
        <v>239</v>
      </c>
      <c r="B231" s="1">
        <v>45521</v>
      </c>
      <c r="C231" t="s">
        <v>1239</v>
      </c>
      <c r="D231" t="s">
        <v>1733</v>
      </c>
      <c r="E231" t="s">
        <v>1991</v>
      </c>
      <c r="F231" t="s">
        <v>1996</v>
      </c>
      <c r="G231" t="s">
        <v>1997</v>
      </c>
      <c r="H231">
        <v>2</v>
      </c>
      <c r="I231">
        <v>241</v>
      </c>
      <c r="J231">
        <v>482</v>
      </c>
      <c r="K231">
        <f t="shared" si="3"/>
        <v>1</v>
      </c>
    </row>
    <row r="232" spans="1:11" x14ac:dyDescent="0.3">
      <c r="A232" t="s">
        <v>240</v>
      </c>
      <c r="B232" s="1">
        <v>45522</v>
      </c>
      <c r="C232" t="s">
        <v>1240</v>
      </c>
      <c r="D232" t="s">
        <v>1734</v>
      </c>
      <c r="E232" t="s">
        <v>1994</v>
      </c>
      <c r="F232" t="s">
        <v>1999</v>
      </c>
      <c r="G232" t="s">
        <v>2002</v>
      </c>
      <c r="H232">
        <v>5</v>
      </c>
      <c r="I232">
        <v>35</v>
      </c>
      <c r="J232">
        <v>175</v>
      </c>
      <c r="K232">
        <f t="shared" si="3"/>
        <v>3</v>
      </c>
    </row>
    <row r="233" spans="1:11" x14ac:dyDescent="0.3">
      <c r="A233" t="s">
        <v>241</v>
      </c>
      <c r="B233" s="1">
        <v>45523</v>
      </c>
      <c r="C233" t="s">
        <v>1241</v>
      </c>
      <c r="D233" t="s">
        <v>1735</v>
      </c>
      <c r="E233" t="s">
        <v>1991</v>
      </c>
      <c r="F233" t="s">
        <v>1992</v>
      </c>
      <c r="G233" t="s">
        <v>1993</v>
      </c>
      <c r="H233">
        <v>4</v>
      </c>
      <c r="I233">
        <v>289</v>
      </c>
      <c r="J233">
        <v>1156</v>
      </c>
      <c r="K233">
        <f t="shared" si="3"/>
        <v>2</v>
      </c>
    </row>
    <row r="234" spans="1:11" x14ac:dyDescent="0.3">
      <c r="A234" t="s">
        <v>242</v>
      </c>
      <c r="B234" s="1">
        <v>45524</v>
      </c>
      <c r="C234" t="s">
        <v>1242</v>
      </c>
      <c r="D234" t="s">
        <v>1736</v>
      </c>
      <c r="E234" t="s">
        <v>1994</v>
      </c>
      <c r="F234" t="s">
        <v>1996</v>
      </c>
      <c r="G234" t="s">
        <v>2001</v>
      </c>
      <c r="H234">
        <v>1</v>
      </c>
      <c r="I234">
        <v>270</v>
      </c>
      <c r="J234">
        <v>270</v>
      </c>
      <c r="K234">
        <f t="shared" si="3"/>
        <v>1</v>
      </c>
    </row>
    <row r="235" spans="1:11" x14ac:dyDescent="0.3">
      <c r="A235" t="s">
        <v>243</v>
      </c>
      <c r="B235" s="1">
        <v>45525</v>
      </c>
      <c r="C235" t="s">
        <v>1243</v>
      </c>
      <c r="D235" t="s">
        <v>1737</v>
      </c>
      <c r="E235" t="s">
        <v>1994</v>
      </c>
      <c r="F235" t="s">
        <v>1996</v>
      </c>
      <c r="G235" t="s">
        <v>2001</v>
      </c>
      <c r="H235">
        <v>1</v>
      </c>
      <c r="I235">
        <v>235</v>
      </c>
      <c r="J235">
        <v>235</v>
      </c>
      <c r="K235">
        <f t="shared" si="3"/>
        <v>4</v>
      </c>
    </row>
    <row r="236" spans="1:11" x14ac:dyDescent="0.3">
      <c r="A236" t="s">
        <v>244</v>
      </c>
      <c r="B236" s="1">
        <v>45526</v>
      </c>
      <c r="C236" t="s">
        <v>1244</v>
      </c>
      <c r="D236" t="s">
        <v>1738</v>
      </c>
      <c r="E236" t="s">
        <v>1994</v>
      </c>
      <c r="F236" t="s">
        <v>1996</v>
      </c>
      <c r="G236" t="s">
        <v>2001</v>
      </c>
      <c r="H236">
        <v>1</v>
      </c>
      <c r="I236">
        <v>245</v>
      </c>
      <c r="J236">
        <v>245</v>
      </c>
      <c r="K236">
        <f t="shared" si="3"/>
        <v>3</v>
      </c>
    </row>
    <row r="237" spans="1:11" x14ac:dyDescent="0.3">
      <c r="A237" t="s">
        <v>245</v>
      </c>
      <c r="B237" s="1">
        <v>45527</v>
      </c>
      <c r="C237" t="s">
        <v>1245</v>
      </c>
      <c r="D237" t="s">
        <v>1739</v>
      </c>
      <c r="E237" t="s">
        <v>1991</v>
      </c>
      <c r="F237" t="s">
        <v>1996</v>
      </c>
      <c r="G237" t="s">
        <v>2001</v>
      </c>
      <c r="H237">
        <v>1</v>
      </c>
      <c r="I237">
        <v>270</v>
      </c>
      <c r="J237">
        <v>270</v>
      </c>
      <c r="K237">
        <f t="shared" si="3"/>
        <v>2</v>
      </c>
    </row>
    <row r="238" spans="1:11" x14ac:dyDescent="0.3">
      <c r="A238" t="s">
        <v>246</v>
      </c>
      <c r="B238" s="1">
        <v>45528</v>
      </c>
      <c r="C238" t="s">
        <v>1246</v>
      </c>
      <c r="D238" t="s">
        <v>1740</v>
      </c>
      <c r="E238" t="s">
        <v>1991</v>
      </c>
      <c r="F238" t="s">
        <v>1992</v>
      </c>
      <c r="G238" t="s">
        <v>1995</v>
      </c>
      <c r="H238">
        <v>3</v>
      </c>
      <c r="I238">
        <v>216</v>
      </c>
      <c r="J238">
        <v>648</v>
      </c>
      <c r="K238">
        <f t="shared" si="3"/>
        <v>1</v>
      </c>
    </row>
    <row r="239" spans="1:11" x14ac:dyDescent="0.3">
      <c r="A239" t="s">
        <v>247</v>
      </c>
      <c r="B239" s="1">
        <v>45529</v>
      </c>
      <c r="C239" t="s">
        <v>1247</v>
      </c>
      <c r="D239" t="s">
        <v>1741</v>
      </c>
      <c r="E239" t="s">
        <v>1994</v>
      </c>
      <c r="F239" t="s">
        <v>1999</v>
      </c>
      <c r="G239" t="s">
        <v>2002</v>
      </c>
      <c r="H239">
        <v>1</v>
      </c>
      <c r="I239">
        <v>27</v>
      </c>
      <c r="J239">
        <v>27</v>
      </c>
      <c r="K239">
        <f t="shared" si="3"/>
        <v>1</v>
      </c>
    </row>
    <row r="240" spans="1:11" x14ac:dyDescent="0.3">
      <c r="A240" t="s">
        <v>248</v>
      </c>
      <c r="B240" s="1">
        <v>45530</v>
      </c>
      <c r="C240" t="s">
        <v>1248</v>
      </c>
      <c r="D240" t="s">
        <v>1742</v>
      </c>
      <c r="E240" t="s">
        <v>1991</v>
      </c>
      <c r="F240" t="s">
        <v>1999</v>
      </c>
      <c r="G240" t="s">
        <v>2002</v>
      </c>
      <c r="H240">
        <v>3</v>
      </c>
      <c r="I240">
        <v>14</v>
      </c>
      <c r="J240">
        <v>42</v>
      </c>
      <c r="K240">
        <f t="shared" si="3"/>
        <v>1</v>
      </c>
    </row>
    <row r="241" spans="1:11" x14ac:dyDescent="0.3">
      <c r="A241" t="s">
        <v>249</v>
      </c>
      <c r="B241" s="1">
        <v>45531</v>
      </c>
      <c r="C241" t="s">
        <v>1249</v>
      </c>
      <c r="D241" t="s">
        <v>1743</v>
      </c>
      <c r="E241" t="s">
        <v>1991</v>
      </c>
      <c r="F241" t="s">
        <v>1999</v>
      </c>
      <c r="G241" t="s">
        <v>2003</v>
      </c>
      <c r="H241">
        <v>5</v>
      </c>
      <c r="I241">
        <v>28</v>
      </c>
      <c r="J241">
        <v>140</v>
      </c>
      <c r="K241">
        <f t="shared" si="3"/>
        <v>2</v>
      </c>
    </row>
    <row r="242" spans="1:11" x14ac:dyDescent="0.3">
      <c r="A242" t="s">
        <v>250</v>
      </c>
      <c r="B242" s="1">
        <v>45532</v>
      </c>
      <c r="C242" t="s">
        <v>1250</v>
      </c>
      <c r="D242" t="s">
        <v>1744</v>
      </c>
      <c r="E242" t="s">
        <v>1991</v>
      </c>
      <c r="F242" t="s">
        <v>1996</v>
      </c>
      <c r="G242" t="s">
        <v>2001</v>
      </c>
      <c r="H242">
        <v>4</v>
      </c>
      <c r="I242">
        <v>222</v>
      </c>
      <c r="J242">
        <v>888</v>
      </c>
      <c r="K242">
        <f t="shared" si="3"/>
        <v>4</v>
      </c>
    </row>
    <row r="243" spans="1:11" x14ac:dyDescent="0.3">
      <c r="A243" t="s">
        <v>251</v>
      </c>
      <c r="B243" s="1">
        <v>45533</v>
      </c>
      <c r="C243" t="s">
        <v>1251</v>
      </c>
      <c r="D243" t="s">
        <v>1745</v>
      </c>
      <c r="E243" t="s">
        <v>1991</v>
      </c>
      <c r="F243" t="s">
        <v>1999</v>
      </c>
      <c r="G243" t="s">
        <v>2002</v>
      </c>
      <c r="H243">
        <v>3</v>
      </c>
      <c r="I243">
        <v>17</v>
      </c>
      <c r="J243">
        <v>51</v>
      </c>
      <c r="K243">
        <f t="shared" si="3"/>
        <v>4</v>
      </c>
    </row>
    <row r="244" spans="1:11" x14ac:dyDescent="0.3">
      <c r="A244" t="s">
        <v>252</v>
      </c>
      <c r="B244" s="1">
        <v>45534</v>
      </c>
      <c r="C244" t="s">
        <v>1252</v>
      </c>
      <c r="D244" t="s">
        <v>1745</v>
      </c>
      <c r="E244" t="s">
        <v>1994</v>
      </c>
      <c r="F244" t="s">
        <v>1996</v>
      </c>
      <c r="G244" t="s">
        <v>2004</v>
      </c>
      <c r="H244">
        <v>4</v>
      </c>
      <c r="I244">
        <v>182</v>
      </c>
      <c r="J244">
        <v>728</v>
      </c>
      <c r="K244">
        <f t="shared" si="3"/>
        <v>1</v>
      </c>
    </row>
    <row r="245" spans="1:11" x14ac:dyDescent="0.3">
      <c r="A245" t="s">
        <v>253</v>
      </c>
      <c r="B245" s="1">
        <v>45535</v>
      </c>
      <c r="C245" t="s">
        <v>1253</v>
      </c>
      <c r="D245" t="s">
        <v>1746</v>
      </c>
      <c r="E245" t="s">
        <v>1991</v>
      </c>
      <c r="F245" t="s">
        <v>1999</v>
      </c>
      <c r="G245" t="s">
        <v>2000</v>
      </c>
      <c r="H245">
        <v>5</v>
      </c>
      <c r="I245">
        <v>48</v>
      </c>
      <c r="J245">
        <v>240</v>
      </c>
      <c r="K245">
        <f t="shared" si="3"/>
        <v>2</v>
      </c>
    </row>
    <row r="246" spans="1:11" x14ac:dyDescent="0.3">
      <c r="A246" t="s">
        <v>254</v>
      </c>
      <c r="B246" s="1">
        <v>45536</v>
      </c>
      <c r="C246" t="s">
        <v>1254</v>
      </c>
      <c r="D246" t="s">
        <v>1747</v>
      </c>
      <c r="E246" t="s">
        <v>1994</v>
      </c>
      <c r="F246" t="s">
        <v>1996</v>
      </c>
      <c r="G246" t="s">
        <v>2001</v>
      </c>
      <c r="H246">
        <v>1</v>
      </c>
      <c r="I246">
        <v>212</v>
      </c>
      <c r="J246">
        <v>212</v>
      </c>
      <c r="K246">
        <f t="shared" si="3"/>
        <v>3</v>
      </c>
    </row>
    <row r="247" spans="1:11" x14ac:dyDescent="0.3">
      <c r="A247" t="s">
        <v>255</v>
      </c>
      <c r="B247" s="1">
        <v>45537</v>
      </c>
      <c r="C247" t="s">
        <v>1255</v>
      </c>
      <c r="D247" t="s">
        <v>1748</v>
      </c>
      <c r="E247" t="s">
        <v>1991</v>
      </c>
      <c r="F247" t="s">
        <v>1996</v>
      </c>
      <c r="G247" t="s">
        <v>2001</v>
      </c>
      <c r="H247">
        <v>2</v>
      </c>
      <c r="I247">
        <v>180</v>
      </c>
      <c r="J247">
        <v>360</v>
      </c>
      <c r="K247">
        <f t="shared" si="3"/>
        <v>1</v>
      </c>
    </row>
    <row r="248" spans="1:11" x14ac:dyDescent="0.3">
      <c r="A248" t="s">
        <v>256</v>
      </c>
      <c r="B248" s="1">
        <v>45538</v>
      </c>
      <c r="C248" t="s">
        <v>1256</v>
      </c>
      <c r="D248" t="s">
        <v>1749</v>
      </c>
      <c r="E248" t="s">
        <v>1994</v>
      </c>
      <c r="F248" t="s">
        <v>1996</v>
      </c>
      <c r="G248" t="s">
        <v>1997</v>
      </c>
      <c r="H248">
        <v>2</v>
      </c>
      <c r="I248">
        <v>292</v>
      </c>
      <c r="J248">
        <v>584</v>
      </c>
      <c r="K248">
        <f t="shared" si="3"/>
        <v>3</v>
      </c>
    </row>
    <row r="249" spans="1:11" x14ac:dyDescent="0.3">
      <c r="A249" t="s">
        <v>257</v>
      </c>
      <c r="B249" s="1">
        <v>45539</v>
      </c>
      <c r="C249" t="s">
        <v>1257</v>
      </c>
      <c r="D249" t="s">
        <v>1750</v>
      </c>
      <c r="E249" t="s">
        <v>1991</v>
      </c>
      <c r="F249" t="s">
        <v>1996</v>
      </c>
      <c r="G249" t="s">
        <v>2001</v>
      </c>
      <c r="H249">
        <v>4</v>
      </c>
      <c r="I249">
        <v>161</v>
      </c>
      <c r="J249">
        <v>644</v>
      </c>
      <c r="K249">
        <f t="shared" si="3"/>
        <v>1</v>
      </c>
    </row>
    <row r="250" spans="1:11" x14ac:dyDescent="0.3">
      <c r="A250" t="s">
        <v>258</v>
      </c>
      <c r="B250" s="1">
        <v>45540</v>
      </c>
      <c r="C250" t="s">
        <v>1258</v>
      </c>
      <c r="D250" t="s">
        <v>1751</v>
      </c>
      <c r="E250" t="s">
        <v>1994</v>
      </c>
      <c r="F250" t="s">
        <v>1992</v>
      </c>
      <c r="G250" t="s">
        <v>1993</v>
      </c>
      <c r="H250">
        <v>2</v>
      </c>
      <c r="I250">
        <v>267</v>
      </c>
      <c r="J250">
        <v>534</v>
      </c>
      <c r="K250">
        <f t="shared" si="3"/>
        <v>1</v>
      </c>
    </row>
    <row r="251" spans="1:11" x14ac:dyDescent="0.3">
      <c r="A251" t="s">
        <v>259</v>
      </c>
      <c r="B251" s="1">
        <v>45541</v>
      </c>
      <c r="C251" t="s">
        <v>1259</v>
      </c>
      <c r="D251" t="s">
        <v>1752</v>
      </c>
      <c r="E251" t="s">
        <v>1991</v>
      </c>
      <c r="F251" t="s">
        <v>1992</v>
      </c>
      <c r="G251" t="s">
        <v>1998</v>
      </c>
      <c r="H251">
        <v>3</v>
      </c>
      <c r="I251">
        <v>399</v>
      </c>
      <c r="J251">
        <v>1197</v>
      </c>
      <c r="K251">
        <f t="shared" si="3"/>
        <v>2</v>
      </c>
    </row>
    <row r="252" spans="1:11" x14ac:dyDescent="0.3">
      <c r="A252" t="s">
        <v>260</v>
      </c>
      <c r="B252" s="1">
        <v>45542</v>
      </c>
      <c r="C252" t="s">
        <v>1260</v>
      </c>
      <c r="D252" t="s">
        <v>1753</v>
      </c>
      <c r="E252" t="s">
        <v>1991</v>
      </c>
      <c r="F252" t="s">
        <v>1999</v>
      </c>
      <c r="G252" t="s">
        <v>2000</v>
      </c>
      <c r="H252">
        <v>2</v>
      </c>
      <c r="I252">
        <v>12</v>
      </c>
      <c r="J252">
        <v>24</v>
      </c>
      <c r="K252">
        <f t="shared" si="3"/>
        <v>2</v>
      </c>
    </row>
    <row r="253" spans="1:11" x14ac:dyDescent="0.3">
      <c r="A253" t="s">
        <v>261</v>
      </c>
      <c r="B253" s="1">
        <v>45543</v>
      </c>
      <c r="C253" t="s">
        <v>1261</v>
      </c>
      <c r="D253" t="s">
        <v>1754</v>
      </c>
      <c r="E253" t="s">
        <v>1994</v>
      </c>
      <c r="F253" t="s">
        <v>1996</v>
      </c>
      <c r="G253" t="s">
        <v>2001</v>
      </c>
      <c r="H253">
        <v>4</v>
      </c>
      <c r="I253">
        <v>190</v>
      </c>
      <c r="J253">
        <v>760</v>
      </c>
      <c r="K253">
        <f t="shared" si="3"/>
        <v>3</v>
      </c>
    </row>
    <row r="254" spans="1:11" x14ac:dyDescent="0.3">
      <c r="A254" t="s">
        <v>262</v>
      </c>
      <c r="B254" s="1">
        <v>45544</v>
      </c>
      <c r="C254" t="s">
        <v>1262</v>
      </c>
      <c r="D254" t="s">
        <v>1755</v>
      </c>
      <c r="E254" t="s">
        <v>1991</v>
      </c>
      <c r="F254" t="s">
        <v>1999</v>
      </c>
      <c r="G254" t="s">
        <v>2000</v>
      </c>
      <c r="H254">
        <v>5</v>
      </c>
      <c r="I254">
        <v>31</v>
      </c>
      <c r="J254">
        <v>155</v>
      </c>
      <c r="K254">
        <f t="shared" si="3"/>
        <v>4</v>
      </c>
    </row>
    <row r="255" spans="1:11" x14ac:dyDescent="0.3">
      <c r="A255" t="s">
        <v>263</v>
      </c>
      <c r="B255" s="1">
        <v>45545</v>
      </c>
      <c r="C255" t="s">
        <v>1263</v>
      </c>
      <c r="D255" t="s">
        <v>1756</v>
      </c>
      <c r="E255" t="s">
        <v>1994</v>
      </c>
      <c r="F255" t="s">
        <v>1999</v>
      </c>
      <c r="G255" t="s">
        <v>2000</v>
      </c>
      <c r="H255">
        <v>2</v>
      </c>
      <c r="I255">
        <v>40</v>
      </c>
      <c r="J255">
        <v>80</v>
      </c>
      <c r="K255">
        <f t="shared" si="3"/>
        <v>2</v>
      </c>
    </row>
    <row r="256" spans="1:11" x14ac:dyDescent="0.3">
      <c r="A256" t="s">
        <v>264</v>
      </c>
      <c r="B256" s="1">
        <v>45546</v>
      </c>
      <c r="C256" t="s">
        <v>1264</v>
      </c>
      <c r="D256" t="s">
        <v>1757</v>
      </c>
      <c r="E256" t="s">
        <v>1991</v>
      </c>
      <c r="F256" t="s">
        <v>1992</v>
      </c>
      <c r="G256" t="s">
        <v>1993</v>
      </c>
      <c r="H256">
        <v>1</v>
      </c>
      <c r="I256">
        <v>383</v>
      </c>
      <c r="J256">
        <v>383</v>
      </c>
      <c r="K256">
        <f t="shared" si="3"/>
        <v>1</v>
      </c>
    </row>
    <row r="257" spans="1:11" x14ac:dyDescent="0.3">
      <c r="A257" t="s">
        <v>265</v>
      </c>
      <c r="B257" s="1">
        <v>45547</v>
      </c>
      <c r="C257" t="s">
        <v>1265</v>
      </c>
      <c r="D257" t="s">
        <v>1758</v>
      </c>
      <c r="E257" t="s">
        <v>1994</v>
      </c>
      <c r="F257" t="s">
        <v>1996</v>
      </c>
      <c r="G257" t="s">
        <v>1997</v>
      </c>
      <c r="H257">
        <v>3</v>
      </c>
      <c r="I257">
        <v>122</v>
      </c>
      <c r="J257">
        <v>366</v>
      </c>
      <c r="K257">
        <f t="shared" si="3"/>
        <v>3</v>
      </c>
    </row>
    <row r="258" spans="1:11" x14ac:dyDescent="0.3">
      <c r="A258" t="s">
        <v>266</v>
      </c>
      <c r="B258" s="1">
        <v>45548</v>
      </c>
      <c r="C258" t="s">
        <v>1266</v>
      </c>
      <c r="D258" t="s">
        <v>1759</v>
      </c>
      <c r="E258" t="s">
        <v>1994</v>
      </c>
      <c r="F258" t="s">
        <v>1999</v>
      </c>
      <c r="G258" t="s">
        <v>2000</v>
      </c>
      <c r="H258">
        <v>2</v>
      </c>
      <c r="I258">
        <v>48</v>
      </c>
      <c r="J258">
        <v>96</v>
      </c>
      <c r="K258">
        <f t="shared" si="3"/>
        <v>4</v>
      </c>
    </row>
    <row r="259" spans="1:11" x14ac:dyDescent="0.3">
      <c r="A259" t="s">
        <v>267</v>
      </c>
      <c r="B259" s="1">
        <v>45549</v>
      </c>
      <c r="C259" t="s">
        <v>1267</v>
      </c>
      <c r="D259" t="s">
        <v>1760</v>
      </c>
      <c r="E259" t="s">
        <v>1994</v>
      </c>
      <c r="F259" t="s">
        <v>1999</v>
      </c>
      <c r="G259" t="s">
        <v>2002</v>
      </c>
      <c r="H259">
        <v>4</v>
      </c>
      <c r="I259">
        <v>44</v>
      </c>
      <c r="J259">
        <v>176</v>
      </c>
      <c r="K259">
        <f t="shared" ref="K259:K322" si="4">COUNTIF(C259:C1258,C259)</f>
        <v>2</v>
      </c>
    </row>
    <row r="260" spans="1:11" x14ac:dyDescent="0.3">
      <c r="A260" t="s">
        <v>268</v>
      </c>
      <c r="B260" s="1">
        <v>45550</v>
      </c>
      <c r="C260" t="s">
        <v>1268</v>
      </c>
      <c r="D260" t="s">
        <v>1761</v>
      </c>
      <c r="E260" t="s">
        <v>1991</v>
      </c>
      <c r="F260" t="s">
        <v>1999</v>
      </c>
      <c r="G260" t="s">
        <v>2002</v>
      </c>
      <c r="H260">
        <v>1</v>
      </c>
      <c r="I260">
        <v>42</v>
      </c>
      <c r="J260">
        <v>42</v>
      </c>
      <c r="K260">
        <f t="shared" si="4"/>
        <v>2</v>
      </c>
    </row>
    <row r="261" spans="1:11" x14ac:dyDescent="0.3">
      <c r="A261" t="s">
        <v>269</v>
      </c>
      <c r="B261" s="1">
        <v>45551</v>
      </c>
      <c r="C261" t="s">
        <v>1269</v>
      </c>
      <c r="D261" t="s">
        <v>1762</v>
      </c>
      <c r="E261" t="s">
        <v>1994</v>
      </c>
      <c r="F261" t="s">
        <v>1996</v>
      </c>
      <c r="G261" t="s">
        <v>2001</v>
      </c>
      <c r="H261">
        <v>1</v>
      </c>
      <c r="I261">
        <v>217</v>
      </c>
      <c r="J261">
        <v>217</v>
      </c>
      <c r="K261">
        <f t="shared" si="4"/>
        <v>1</v>
      </c>
    </row>
    <row r="262" spans="1:11" x14ac:dyDescent="0.3">
      <c r="A262" t="s">
        <v>270</v>
      </c>
      <c r="B262" s="1">
        <v>45552</v>
      </c>
      <c r="C262" t="s">
        <v>1270</v>
      </c>
      <c r="D262" t="s">
        <v>1763</v>
      </c>
      <c r="E262" t="s">
        <v>1994</v>
      </c>
      <c r="F262" t="s">
        <v>1999</v>
      </c>
      <c r="G262" t="s">
        <v>2002</v>
      </c>
      <c r="H262">
        <v>3</v>
      </c>
      <c r="I262">
        <v>38</v>
      </c>
      <c r="J262">
        <v>114</v>
      </c>
      <c r="K262">
        <f t="shared" si="4"/>
        <v>3</v>
      </c>
    </row>
    <row r="263" spans="1:11" x14ac:dyDescent="0.3">
      <c r="A263" t="s">
        <v>271</v>
      </c>
      <c r="B263" s="1">
        <v>45553</v>
      </c>
      <c r="C263" t="s">
        <v>1271</v>
      </c>
      <c r="D263" t="s">
        <v>1764</v>
      </c>
      <c r="E263" t="s">
        <v>1991</v>
      </c>
      <c r="F263" t="s">
        <v>1992</v>
      </c>
      <c r="G263" t="s">
        <v>1998</v>
      </c>
      <c r="H263">
        <v>3</v>
      </c>
      <c r="I263">
        <v>271</v>
      </c>
      <c r="J263">
        <v>813</v>
      </c>
      <c r="K263">
        <f t="shared" si="4"/>
        <v>1</v>
      </c>
    </row>
    <row r="264" spans="1:11" x14ac:dyDescent="0.3">
      <c r="A264" t="s">
        <v>272</v>
      </c>
      <c r="B264" s="1">
        <v>45554</v>
      </c>
      <c r="C264" t="s">
        <v>1272</v>
      </c>
      <c r="D264" t="s">
        <v>1765</v>
      </c>
      <c r="E264" t="s">
        <v>1991</v>
      </c>
      <c r="F264" t="s">
        <v>1996</v>
      </c>
      <c r="G264" t="s">
        <v>2004</v>
      </c>
      <c r="H264">
        <v>1</v>
      </c>
      <c r="I264">
        <v>271</v>
      </c>
      <c r="J264">
        <v>271</v>
      </c>
      <c r="K264">
        <f t="shared" si="4"/>
        <v>1</v>
      </c>
    </row>
    <row r="265" spans="1:11" x14ac:dyDescent="0.3">
      <c r="A265" t="s">
        <v>273</v>
      </c>
      <c r="B265" s="1">
        <v>45555</v>
      </c>
      <c r="C265" t="s">
        <v>1273</v>
      </c>
      <c r="D265" t="s">
        <v>1766</v>
      </c>
      <c r="E265" t="s">
        <v>1994</v>
      </c>
      <c r="F265" t="s">
        <v>1996</v>
      </c>
      <c r="G265" t="s">
        <v>2001</v>
      </c>
      <c r="H265">
        <v>1</v>
      </c>
      <c r="I265">
        <v>258</v>
      </c>
      <c r="J265">
        <v>258</v>
      </c>
      <c r="K265">
        <f t="shared" si="4"/>
        <v>2</v>
      </c>
    </row>
    <row r="266" spans="1:11" x14ac:dyDescent="0.3">
      <c r="A266" t="s">
        <v>274</v>
      </c>
      <c r="B266" s="1">
        <v>45556</v>
      </c>
      <c r="C266" t="s">
        <v>1274</v>
      </c>
      <c r="D266" t="s">
        <v>1767</v>
      </c>
      <c r="E266" t="s">
        <v>1994</v>
      </c>
      <c r="F266" t="s">
        <v>1992</v>
      </c>
      <c r="G266" t="s">
        <v>1995</v>
      </c>
      <c r="H266">
        <v>5</v>
      </c>
      <c r="I266">
        <v>486</v>
      </c>
      <c r="J266">
        <v>2430</v>
      </c>
      <c r="K266">
        <f t="shared" si="4"/>
        <v>3</v>
      </c>
    </row>
    <row r="267" spans="1:11" x14ac:dyDescent="0.3">
      <c r="A267" t="s">
        <v>275</v>
      </c>
      <c r="B267" s="1">
        <v>45557</v>
      </c>
      <c r="C267" t="s">
        <v>1275</v>
      </c>
      <c r="D267" t="s">
        <v>1768</v>
      </c>
      <c r="E267" t="s">
        <v>1991</v>
      </c>
      <c r="F267" t="s">
        <v>1999</v>
      </c>
      <c r="G267" t="s">
        <v>2002</v>
      </c>
      <c r="H267">
        <v>3</v>
      </c>
      <c r="I267">
        <v>13</v>
      </c>
      <c r="J267">
        <v>39</v>
      </c>
      <c r="K267">
        <f t="shared" si="4"/>
        <v>2</v>
      </c>
    </row>
    <row r="268" spans="1:11" x14ac:dyDescent="0.3">
      <c r="A268" t="s">
        <v>276</v>
      </c>
      <c r="B268" s="1">
        <v>45558</v>
      </c>
      <c r="C268" t="s">
        <v>1276</v>
      </c>
      <c r="D268" t="s">
        <v>1769</v>
      </c>
      <c r="E268" t="s">
        <v>1994</v>
      </c>
      <c r="F268" t="s">
        <v>1999</v>
      </c>
      <c r="G268" t="s">
        <v>2000</v>
      </c>
      <c r="H268">
        <v>5</v>
      </c>
      <c r="I268">
        <v>38</v>
      </c>
      <c r="J268">
        <v>190</v>
      </c>
      <c r="K268">
        <f t="shared" si="4"/>
        <v>1</v>
      </c>
    </row>
    <row r="269" spans="1:11" x14ac:dyDescent="0.3">
      <c r="A269" t="s">
        <v>277</v>
      </c>
      <c r="B269" s="1">
        <v>45559</v>
      </c>
      <c r="C269" t="s">
        <v>1277</v>
      </c>
      <c r="D269" t="s">
        <v>1770</v>
      </c>
      <c r="E269" t="s">
        <v>1994</v>
      </c>
      <c r="F269" t="s">
        <v>1992</v>
      </c>
      <c r="G269" t="s">
        <v>1998</v>
      </c>
      <c r="H269">
        <v>1</v>
      </c>
      <c r="I269">
        <v>266</v>
      </c>
      <c r="J269">
        <v>266</v>
      </c>
      <c r="K269">
        <f t="shared" si="4"/>
        <v>1</v>
      </c>
    </row>
    <row r="270" spans="1:11" x14ac:dyDescent="0.3">
      <c r="A270" t="s">
        <v>278</v>
      </c>
      <c r="B270" s="1">
        <v>45560</v>
      </c>
      <c r="C270" t="s">
        <v>1278</v>
      </c>
      <c r="D270" t="s">
        <v>1771</v>
      </c>
      <c r="E270" t="s">
        <v>1994</v>
      </c>
      <c r="F270" t="s">
        <v>1999</v>
      </c>
      <c r="G270" t="s">
        <v>2003</v>
      </c>
      <c r="H270">
        <v>3</v>
      </c>
      <c r="I270">
        <v>15</v>
      </c>
      <c r="J270">
        <v>45</v>
      </c>
      <c r="K270">
        <f t="shared" si="4"/>
        <v>2</v>
      </c>
    </row>
    <row r="271" spans="1:11" x14ac:dyDescent="0.3">
      <c r="A271" t="s">
        <v>279</v>
      </c>
      <c r="B271" s="1">
        <v>45561</v>
      </c>
      <c r="C271" t="s">
        <v>1279</v>
      </c>
      <c r="D271" t="s">
        <v>1772</v>
      </c>
      <c r="E271" t="s">
        <v>1994</v>
      </c>
      <c r="F271" t="s">
        <v>1996</v>
      </c>
      <c r="G271" t="s">
        <v>2004</v>
      </c>
      <c r="H271">
        <v>2</v>
      </c>
      <c r="I271">
        <v>131</v>
      </c>
      <c r="J271">
        <v>262</v>
      </c>
      <c r="K271">
        <f t="shared" si="4"/>
        <v>2</v>
      </c>
    </row>
    <row r="272" spans="1:11" x14ac:dyDescent="0.3">
      <c r="A272" t="s">
        <v>280</v>
      </c>
      <c r="B272" s="1">
        <v>45562</v>
      </c>
      <c r="C272" t="s">
        <v>1280</v>
      </c>
      <c r="D272" t="s">
        <v>1773</v>
      </c>
      <c r="E272" t="s">
        <v>1991</v>
      </c>
      <c r="F272" t="s">
        <v>1999</v>
      </c>
      <c r="G272" t="s">
        <v>2002</v>
      </c>
      <c r="H272">
        <v>2</v>
      </c>
      <c r="I272">
        <v>37</v>
      </c>
      <c r="J272">
        <v>74</v>
      </c>
      <c r="K272">
        <f t="shared" si="4"/>
        <v>3</v>
      </c>
    </row>
    <row r="273" spans="1:11" x14ac:dyDescent="0.3">
      <c r="A273" t="s">
        <v>281</v>
      </c>
      <c r="B273" s="1">
        <v>45563</v>
      </c>
      <c r="C273" t="s">
        <v>1281</v>
      </c>
      <c r="D273" t="s">
        <v>1774</v>
      </c>
      <c r="E273" t="s">
        <v>1991</v>
      </c>
      <c r="F273" t="s">
        <v>1999</v>
      </c>
      <c r="G273" t="s">
        <v>2000</v>
      </c>
      <c r="H273">
        <v>4</v>
      </c>
      <c r="I273">
        <v>40</v>
      </c>
      <c r="J273">
        <v>160</v>
      </c>
      <c r="K273">
        <f t="shared" si="4"/>
        <v>3</v>
      </c>
    </row>
    <row r="274" spans="1:11" x14ac:dyDescent="0.3">
      <c r="A274" t="s">
        <v>282</v>
      </c>
      <c r="B274" s="1">
        <v>45536</v>
      </c>
      <c r="C274" t="s">
        <v>1282</v>
      </c>
      <c r="D274" t="s">
        <v>1775</v>
      </c>
      <c r="E274" t="s">
        <v>1991</v>
      </c>
      <c r="F274" t="s">
        <v>1996</v>
      </c>
      <c r="G274" t="s">
        <v>2004</v>
      </c>
      <c r="H274">
        <v>5</v>
      </c>
      <c r="I274">
        <v>205</v>
      </c>
      <c r="J274">
        <v>1025</v>
      </c>
      <c r="K274">
        <f t="shared" si="4"/>
        <v>3</v>
      </c>
    </row>
    <row r="275" spans="1:11" x14ac:dyDescent="0.3">
      <c r="A275" t="s">
        <v>283</v>
      </c>
      <c r="B275" s="1">
        <v>45547</v>
      </c>
      <c r="C275" t="s">
        <v>1283</v>
      </c>
      <c r="D275" t="s">
        <v>1776</v>
      </c>
      <c r="E275" t="s">
        <v>1994</v>
      </c>
      <c r="F275" t="s">
        <v>1999</v>
      </c>
      <c r="G275" t="s">
        <v>2002</v>
      </c>
      <c r="H275">
        <v>5</v>
      </c>
      <c r="I275">
        <v>12</v>
      </c>
      <c r="J275">
        <v>60</v>
      </c>
      <c r="K275">
        <f t="shared" si="4"/>
        <v>2</v>
      </c>
    </row>
    <row r="276" spans="1:11" x14ac:dyDescent="0.3">
      <c r="A276" t="s">
        <v>284</v>
      </c>
      <c r="B276" s="1">
        <v>45383</v>
      </c>
      <c r="C276" t="s">
        <v>1284</v>
      </c>
      <c r="D276" t="s">
        <v>1777</v>
      </c>
      <c r="E276" t="s">
        <v>1991</v>
      </c>
      <c r="F276" t="s">
        <v>1999</v>
      </c>
      <c r="G276" t="s">
        <v>2003</v>
      </c>
      <c r="H276">
        <v>5</v>
      </c>
      <c r="I276">
        <v>42</v>
      </c>
      <c r="J276">
        <v>210</v>
      </c>
      <c r="K276">
        <f t="shared" si="4"/>
        <v>1</v>
      </c>
    </row>
    <row r="277" spans="1:11" x14ac:dyDescent="0.3">
      <c r="A277" t="s">
        <v>285</v>
      </c>
      <c r="B277" s="1">
        <v>45527</v>
      </c>
      <c r="C277" t="s">
        <v>1285</v>
      </c>
      <c r="D277" t="s">
        <v>1778</v>
      </c>
      <c r="E277" t="s">
        <v>1991</v>
      </c>
      <c r="F277" t="s">
        <v>1999</v>
      </c>
      <c r="G277" t="s">
        <v>2000</v>
      </c>
      <c r="H277">
        <v>5</v>
      </c>
      <c r="I277">
        <v>18</v>
      </c>
      <c r="J277">
        <v>90</v>
      </c>
      <c r="K277">
        <f t="shared" si="4"/>
        <v>2</v>
      </c>
    </row>
    <row r="278" spans="1:11" x14ac:dyDescent="0.3">
      <c r="A278" t="s">
        <v>286</v>
      </c>
      <c r="B278" s="1">
        <v>45433</v>
      </c>
      <c r="C278" t="s">
        <v>1286</v>
      </c>
      <c r="D278" t="s">
        <v>1779</v>
      </c>
      <c r="E278" t="s">
        <v>1991</v>
      </c>
      <c r="F278" t="s">
        <v>1999</v>
      </c>
      <c r="G278" t="s">
        <v>2000</v>
      </c>
      <c r="H278">
        <v>2</v>
      </c>
      <c r="I278">
        <v>25</v>
      </c>
      <c r="J278">
        <v>50</v>
      </c>
      <c r="K278">
        <f t="shared" si="4"/>
        <v>2</v>
      </c>
    </row>
    <row r="279" spans="1:11" x14ac:dyDescent="0.3">
      <c r="A279" t="s">
        <v>287</v>
      </c>
      <c r="B279" s="1">
        <v>45444</v>
      </c>
      <c r="C279" t="s">
        <v>1287</v>
      </c>
      <c r="D279" t="s">
        <v>1780</v>
      </c>
      <c r="E279" t="s">
        <v>1994</v>
      </c>
      <c r="F279" t="s">
        <v>1999</v>
      </c>
      <c r="G279" t="s">
        <v>2003</v>
      </c>
      <c r="H279">
        <v>3</v>
      </c>
      <c r="I279">
        <v>25</v>
      </c>
      <c r="J279">
        <v>75</v>
      </c>
      <c r="K279">
        <f t="shared" si="4"/>
        <v>1</v>
      </c>
    </row>
    <row r="280" spans="1:11" x14ac:dyDescent="0.3">
      <c r="A280" t="s">
        <v>288</v>
      </c>
      <c r="B280" s="1">
        <v>45502</v>
      </c>
      <c r="C280" t="s">
        <v>1288</v>
      </c>
      <c r="D280" t="s">
        <v>1781</v>
      </c>
      <c r="E280" t="s">
        <v>1994</v>
      </c>
      <c r="F280" t="s">
        <v>1992</v>
      </c>
      <c r="G280" t="s">
        <v>1998</v>
      </c>
      <c r="H280">
        <v>3</v>
      </c>
      <c r="I280">
        <v>420</v>
      </c>
      <c r="J280">
        <v>1260</v>
      </c>
      <c r="K280">
        <f t="shared" si="4"/>
        <v>1</v>
      </c>
    </row>
    <row r="281" spans="1:11" x14ac:dyDescent="0.3">
      <c r="A281" t="s">
        <v>289</v>
      </c>
      <c r="B281" s="1">
        <v>45306</v>
      </c>
      <c r="C281" t="s">
        <v>1289</v>
      </c>
      <c r="D281" t="s">
        <v>1782</v>
      </c>
      <c r="E281" t="s">
        <v>1994</v>
      </c>
      <c r="F281" t="s">
        <v>1996</v>
      </c>
      <c r="G281" t="s">
        <v>1997</v>
      </c>
      <c r="H281">
        <v>2</v>
      </c>
      <c r="I281">
        <v>297</v>
      </c>
      <c r="J281">
        <v>594</v>
      </c>
      <c r="K281">
        <f t="shared" si="4"/>
        <v>2</v>
      </c>
    </row>
    <row r="282" spans="1:11" x14ac:dyDescent="0.3">
      <c r="A282" t="s">
        <v>290</v>
      </c>
      <c r="B282" s="1">
        <v>45453</v>
      </c>
      <c r="C282" t="s">
        <v>1290</v>
      </c>
      <c r="D282" t="s">
        <v>1783</v>
      </c>
      <c r="E282" t="s">
        <v>1991</v>
      </c>
      <c r="F282" t="s">
        <v>1999</v>
      </c>
      <c r="G282" t="s">
        <v>2000</v>
      </c>
      <c r="H282">
        <v>4</v>
      </c>
      <c r="I282">
        <v>40</v>
      </c>
      <c r="J282">
        <v>160</v>
      </c>
      <c r="K282">
        <f t="shared" si="4"/>
        <v>1</v>
      </c>
    </row>
    <row r="283" spans="1:11" x14ac:dyDescent="0.3">
      <c r="A283" t="s">
        <v>291</v>
      </c>
      <c r="B283" s="1">
        <v>45295</v>
      </c>
      <c r="C283" t="s">
        <v>1291</v>
      </c>
      <c r="D283" t="s">
        <v>1784</v>
      </c>
      <c r="E283" t="s">
        <v>1994</v>
      </c>
      <c r="F283" t="s">
        <v>1996</v>
      </c>
      <c r="G283" t="s">
        <v>2001</v>
      </c>
      <c r="H283">
        <v>1</v>
      </c>
      <c r="I283">
        <v>177</v>
      </c>
      <c r="J283">
        <v>177</v>
      </c>
      <c r="K283">
        <f t="shared" si="4"/>
        <v>2</v>
      </c>
    </row>
    <row r="284" spans="1:11" x14ac:dyDescent="0.3">
      <c r="A284" t="s">
        <v>292</v>
      </c>
      <c r="B284" s="1">
        <v>45504</v>
      </c>
      <c r="C284" t="s">
        <v>1292</v>
      </c>
      <c r="D284" t="s">
        <v>1785</v>
      </c>
      <c r="E284" t="s">
        <v>1994</v>
      </c>
      <c r="F284" t="s">
        <v>1992</v>
      </c>
      <c r="G284" t="s">
        <v>1998</v>
      </c>
      <c r="H284">
        <v>5</v>
      </c>
      <c r="I284">
        <v>458</v>
      </c>
      <c r="J284">
        <v>2290</v>
      </c>
      <c r="K284">
        <f t="shared" si="4"/>
        <v>2</v>
      </c>
    </row>
    <row r="285" spans="1:11" x14ac:dyDescent="0.3">
      <c r="A285" t="s">
        <v>293</v>
      </c>
      <c r="B285" s="1">
        <v>45385</v>
      </c>
      <c r="C285" t="s">
        <v>1293</v>
      </c>
      <c r="D285" t="s">
        <v>1786</v>
      </c>
      <c r="E285" t="s">
        <v>1991</v>
      </c>
      <c r="F285" t="s">
        <v>1996</v>
      </c>
      <c r="G285" t="s">
        <v>1997</v>
      </c>
      <c r="H285">
        <v>1</v>
      </c>
      <c r="I285">
        <v>124</v>
      </c>
      <c r="J285">
        <v>124</v>
      </c>
      <c r="K285">
        <f t="shared" si="4"/>
        <v>2</v>
      </c>
    </row>
    <row r="286" spans="1:11" x14ac:dyDescent="0.3">
      <c r="A286" t="s">
        <v>294</v>
      </c>
      <c r="B286" s="1">
        <v>45531</v>
      </c>
      <c r="C286" t="s">
        <v>1294</v>
      </c>
      <c r="D286" t="s">
        <v>1787</v>
      </c>
      <c r="E286" t="s">
        <v>1994</v>
      </c>
      <c r="F286" t="s">
        <v>1999</v>
      </c>
      <c r="G286" t="s">
        <v>2003</v>
      </c>
      <c r="H286">
        <v>2</v>
      </c>
      <c r="I286">
        <v>35</v>
      </c>
      <c r="J286">
        <v>70</v>
      </c>
      <c r="K286">
        <f t="shared" si="4"/>
        <v>4</v>
      </c>
    </row>
    <row r="287" spans="1:11" x14ac:dyDescent="0.3">
      <c r="A287" t="s">
        <v>295</v>
      </c>
      <c r="B287" s="1">
        <v>45404</v>
      </c>
      <c r="C287" t="s">
        <v>1295</v>
      </c>
      <c r="D287" t="s">
        <v>1788</v>
      </c>
      <c r="E287" t="s">
        <v>1994</v>
      </c>
      <c r="F287" t="s">
        <v>1992</v>
      </c>
      <c r="G287" t="s">
        <v>1995</v>
      </c>
      <c r="H287">
        <v>5</v>
      </c>
      <c r="I287">
        <v>499</v>
      </c>
      <c r="J287">
        <v>2495</v>
      </c>
      <c r="K287">
        <f t="shared" si="4"/>
        <v>1</v>
      </c>
    </row>
    <row r="288" spans="1:11" x14ac:dyDescent="0.3">
      <c r="A288" t="s">
        <v>296</v>
      </c>
      <c r="B288" s="1">
        <v>45372</v>
      </c>
      <c r="C288" t="s">
        <v>1296</v>
      </c>
      <c r="D288" t="s">
        <v>1789</v>
      </c>
      <c r="E288" t="s">
        <v>1994</v>
      </c>
      <c r="F288" t="s">
        <v>1999</v>
      </c>
      <c r="G288" t="s">
        <v>2000</v>
      </c>
      <c r="H288">
        <v>5</v>
      </c>
      <c r="I288">
        <v>24</v>
      </c>
      <c r="J288">
        <v>120</v>
      </c>
      <c r="K288">
        <f t="shared" si="4"/>
        <v>2</v>
      </c>
    </row>
    <row r="289" spans="1:11" x14ac:dyDescent="0.3">
      <c r="A289" t="s">
        <v>297</v>
      </c>
      <c r="B289" s="1">
        <v>45354</v>
      </c>
      <c r="C289" t="s">
        <v>1297</v>
      </c>
      <c r="D289" t="s">
        <v>1790</v>
      </c>
      <c r="E289" t="s">
        <v>1994</v>
      </c>
      <c r="F289" t="s">
        <v>1996</v>
      </c>
      <c r="G289" t="s">
        <v>2004</v>
      </c>
      <c r="H289">
        <v>5</v>
      </c>
      <c r="I289">
        <v>248</v>
      </c>
      <c r="J289">
        <v>1240</v>
      </c>
      <c r="K289">
        <f t="shared" si="4"/>
        <v>1</v>
      </c>
    </row>
    <row r="290" spans="1:11" x14ac:dyDescent="0.3">
      <c r="A290" t="s">
        <v>298</v>
      </c>
      <c r="B290" s="1">
        <v>45335</v>
      </c>
      <c r="C290" t="s">
        <v>1298</v>
      </c>
      <c r="D290" t="s">
        <v>1791</v>
      </c>
      <c r="E290" t="s">
        <v>1994</v>
      </c>
      <c r="F290" t="s">
        <v>1992</v>
      </c>
      <c r="G290" t="s">
        <v>1995</v>
      </c>
      <c r="H290">
        <v>1</v>
      </c>
      <c r="I290">
        <v>353</v>
      </c>
      <c r="J290">
        <v>353</v>
      </c>
      <c r="K290">
        <f t="shared" si="4"/>
        <v>4</v>
      </c>
    </row>
    <row r="291" spans="1:11" x14ac:dyDescent="0.3">
      <c r="A291" t="s">
        <v>299</v>
      </c>
      <c r="B291" s="1">
        <v>45456</v>
      </c>
      <c r="C291" t="s">
        <v>1299</v>
      </c>
      <c r="D291" t="s">
        <v>1792</v>
      </c>
      <c r="E291" t="s">
        <v>1994</v>
      </c>
      <c r="F291" t="s">
        <v>1992</v>
      </c>
      <c r="G291" t="s">
        <v>1998</v>
      </c>
      <c r="H291">
        <v>2</v>
      </c>
      <c r="I291">
        <v>206</v>
      </c>
      <c r="J291">
        <v>412</v>
      </c>
      <c r="K291">
        <f t="shared" si="4"/>
        <v>2</v>
      </c>
    </row>
    <row r="292" spans="1:11" x14ac:dyDescent="0.3">
      <c r="A292" t="s">
        <v>300</v>
      </c>
      <c r="B292" s="1">
        <v>45437</v>
      </c>
      <c r="C292" t="s">
        <v>1300</v>
      </c>
      <c r="D292" t="s">
        <v>1793</v>
      </c>
      <c r="E292" t="s">
        <v>1991</v>
      </c>
      <c r="F292" t="s">
        <v>1996</v>
      </c>
      <c r="G292" t="s">
        <v>1997</v>
      </c>
      <c r="H292">
        <v>3</v>
      </c>
      <c r="I292">
        <v>172</v>
      </c>
      <c r="J292">
        <v>516</v>
      </c>
      <c r="K292">
        <f t="shared" si="4"/>
        <v>1</v>
      </c>
    </row>
    <row r="293" spans="1:11" x14ac:dyDescent="0.3">
      <c r="A293" t="s">
        <v>301</v>
      </c>
      <c r="B293" s="1">
        <v>45426</v>
      </c>
      <c r="C293" t="s">
        <v>1301</v>
      </c>
      <c r="D293" t="s">
        <v>1794</v>
      </c>
      <c r="E293" t="s">
        <v>1991</v>
      </c>
      <c r="F293" t="s">
        <v>1992</v>
      </c>
      <c r="G293" t="s">
        <v>1993</v>
      </c>
      <c r="H293">
        <v>1</v>
      </c>
      <c r="I293">
        <v>478</v>
      </c>
      <c r="J293">
        <v>478</v>
      </c>
      <c r="K293">
        <f t="shared" si="4"/>
        <v>2</v>
      </c>
    </row>
    <row r="294" spans="1:11" x14ac:dyDescent="0.3">
      <c r="A294" t="s">
        <v>302</v>
      </c>
      <c r="B294" s="1">
        <v>45396</v>
      </c>
      <c r="C294" t="s">
        <v>1302</v>
      </c>
      <c r="D294" t="s">
        <v>1795</v>
      </c>
      <c r="E294" t="s">
        <v>1991</v>
      </c>
      <c r="F294" t="s">
        <v>1999</v>
      </c>
      <c r="G294" t="s">
        <v>2002</v>
      </c>
      <c r="H294">
        <v>4</v>
      </c>
      <c r="I294">
        <v>31</v>
      </c>
      <c r="J294">
        <v>124</v>
      </c>
      <c r="K294">
        <f t="shared" si="4"/>
        <v>2</v>
      </c>
    </row>
    <row r="295" spans="1:11" x14ac:dyDescent="0.3">
      <c r="A295" t="s">
        <v>303</v>
      </c>
      <c r="B295" s="1">
        <v>45342</v>
      </c>
      <c r="C295" t="s">
        <v>1303</v>
      </c>
      <c r="D295" t="s">
        <v>1796</v>
      </c>
      <c r="E295" t="s">
        <v>1994</v>
      </c>
      <c r="F295" t="s">
        <v>1999</v>
      </c>
      <c r="G295" t="s">
        <v>2003</v>
      </c>
      <c r="H295">
        <v>2</v>
      </c>
      <c r="I295">
        <v>17</v>
      </c>
      <c r="J295">
        <v>34</v>
      </c>
      <c r="K295">
        <f t="shared" si="4"/>
        <v>2</v>
      </c>
    </row>
    <row r="296" spans="1:11" x14ac:dyDescent="0.3">
      <c r="A296" t="s">
        <v>304</v>
      </c>
      <c r="B296" s="1">
        <v>45470</v>
      </c>
      <c r="C296" t="s">
        <v>1304</v>
      </c>
      <c r="D296" t="s">
        <v>1797</v>
      </c>
      <c r="E296" t="s">
        <v>1994</v>
      </c>
      <c r="F296" t="s">
        <v>1999</v>
      </c>
      <c r="G296" t="s">
        <v>2003</v>
      </c>
      <c r="H296">
        <v>2</v>
      </c>
      <c r="I296">
        <v>23</v>
      </c>
      <c r="J296">
        <v>46</v>
      </c>
      <c r="K296">
        <f t="shared" si="4"/>
        <v>2</v>
      </c>
    </row>
    <row r="297" spans="1:11" x14ac:dyDescent="0.3">
      <c r="A297" t="s">
        <v>305</v>
      </c>
      <c r="B297" s="1">
        <v>45495</v>
      </c>
      <c r="C297" t="s">
        <v>1305</v>
      </c>
      <c r="D297" t="s">
        <v>1798</v>
      </c>
      <c r="E297" t="s">
        <v>1991</v>
      </c>
      <c r="F297" t="s">
        <v>1996</v>
      </c>
      <c r="G297" t="s">
        <v>1997</v>
      </c>
      <c r="H297">
        <v>5</v>
      </c>
      <c r="I297">
        <v>242</v>
      </c>
      <c r="J297">
        <v>1210</v>
      </c>
      <c r="K297">
        <f t="shared" si="4"/>
        <v>1</v>
      </c>
    </row>
    <row r="298" spans="1:11" x14ac:dyDescent="0.3">
      <c r="A298" t="s">
        <v>306</v>
      </c>
      <c r="B298" s="1">
        <v>45517</v>
      </c>
      <c r="C298" t="s">
        <v>1306</v>
      </c>
      <c r="D298" t="s">
        <v>1797</v>
      </c>
      <c r="E298" t="s">
        <v>1991</v>
      </c>
      <c r="F298" t="s">
        <v>1999</v>
      </c>
      <c r="G298" t="s">
        <v>2000</v>
      </c>
      <c r="H298">
        <v>2</v>
      </c>
      <c r="I298">
        <v>28</v>
      </c>
      <c r="J298">
        <v>56</v>
      </c>
      <c r="K298">
        <f t="shared" si="4"/>
        <v>4</v>
      </c>
    </row>
    <row r="299" spans="1:11" x14ac:dyDescent="0.3">
      <c r="A299" t="s">
        <v>307</v>
      </c>
      <c r="B299" s="1">
        <v>45439</v>
      </c>
      <c r="C299" t="s">
        <v>1307</v>
      </c>
      <c r="D299" t="s">
        <v>1799</v>
      </c>
      <c r="E299" t="s">
        <v>1991</v>
      </c>
      <c r="F299" t="s">
        <v>1999</v>
      </c>
      <c r="G299" t="s">
        <v>2000</v>
      </c>
      <c r="H299">
        <v>4</v>
      </c>
      <c r="I299">
        <v>48</v>
      </c>
      <c r="J299">
        <v>192</v>
      </c>
      <c r="K299">
        <f t="shared" si="4"/>
        <v>3</v>
      </c>
    </row>
    <row r="300" spans="1:11" x14ac:dyDescent="0.3">
      <c r="A300" t="s">
        <v>308</v>
      </c>
      <c r="B300" s="1">
        <v>45348</v>
      </c>
      <c r="C300" t="s">
        <v>1308</v>
      </c>
      <c r="D300" t="s">
        <v>1800</v>
      </c>
      <c r="E300" t="s">
        <v>1994</v>
      </c>
      <c r="F300" t="s">
        <v>1996</v>
      </c>
      <c r="G300" t="s">
        <v>2001</v>
      </c>
      <c r="H300">
        <v>4</v>
      </c>
      <c r="I300">
        <v>145</v>
      </c>
      <c r="J300">
        <v>580</v>
      </c>
      <c r="K300">
        <f t="shared" si="4"/>
        <v>2</v>
      </c>
    </row>
    <row r="301" spans="1:11" x14ac:dyDescent="0.3">
      <c r="A301" t="s">
        <v>309</v>
      </c>
      <c r="B301" s="1">
        <v>45552</v>
      </c>
      <c r="C301" t="s">
        <v>1309</v>
      </c>
      <c r="D301" t="s">
        <v>1801</v>
      </c>
      <c r="E301" t="s">
        <v>1994</v>
      </c>
      <c r="F301" t="s">
        <v>1999</v>
      </c>
      <c r="G301" t="s">
        <v>2003</v>
      </c>
      <c r="H301">
        <v>3</v>
      </c>
      <c r="I301">
        <v>28</v>
      </c>
      <c r="J301">
        <v>84</v>
      </c>
      <c r="K301">
        <f t="shared" si="4"/>
        <v>2</v>
      </c>
    </row>
    <row r="302" spans="1:11" x14ac:dyDescent="0.3">
      <c r="A302" t="s">
        <v>310</v>
      </c>
      <c r="B302" s="1">
        <v>45455</v>
      </c>
      <c r="C302" t="s">
        <v>1310</v>
      </c>
      <c r="D302" t="s">
        <v>1802</v>
      </c>
      <c r="E302" t="s">
        <v>1991</v>
      </c>
      <c r="F302" t="s">
        <v>1996</v>
      </c>
      <c r="G302" t="s">
        <v>1997</v>
      </c>
      <c r="H302">
        <v>5</v>
      </c>
      <c r="I302">
        <v>239</v>
      </c>
      <c r="J302">
        <v>1195</v>
      </c>
      <c r="K302">
        <f t="shared" si="4"/>
        <v>1</v>
      </c>
    </row>
    <row r="303" spans="1:11" x14ac:dyDescent="0.3">
      <c r="A303" t="s">
        <v>311</v>
      </c>
      <c r="B303" s="1">
        <v>45384</v>
      </c>
      <c r="C303" t="s">
        <v>1311</v>
      </c>
      <c r="D303" t="s">
        <v>1803</v>
      </c>
      <c r="E303" t="s">
        <v>1994</v>
      </c>
      <c r="F303" t="s">
        <v>1999</v>
      </c>
      <c r="G303" t="s">
        <v>2000</v>
      </c>
      <c r="H303">
        <v>1</v>
      </c>
      <c r="I303">
        <v>48</v>
      </c>
      <c r="J303">
        <v>48</v>
      </c>
      <c r="K303">
        <f t="shared" si="4"/>
        <v>1</v>
      </c>
    </row>
    <row r="304" spans="1:11" x14ac:dyDescent="0.3">
      <c r="A304" t="s">
        <v>312</v>
      </c>
      <c r="B304" s="1">
        <v>45328</v>
      </c>
      <c r="C304" t="s">
        <v>1312</v>
      </c>
      <c r="D304" t="s">
        <v>1804</v>
      </c>
      <c r="E304" t="s">
        <v>1991</v>
      </c>
      <c r="F304" t="s">
        <v>1999</v>
      </c>
      <c r="G304" t="s">
        <v>2002</v>
      </c>
      <c r="H304">
        <v>1</v>
      </c>
      <c r="I304">
        <v>14</v>
      </c>
      <c r="J304">
        <v>14</v>
      </c>
      <c r="K304">
        <f t="shared" si="4"/>
        <v>3</v>
      </c>
    </row>
    <row r="305" spans="1:11" x14ac:dyDescent="0.3">
      <c r="A305" t="s">
        <v>313</v>
      </c>
      <c r="B305" s="1">
        <v>45327</v>
      </c>
      <c r="C305" t="s">
        <v>1313</v>
      </c>
      <c r="D305" t="s">
        <v>1805</v>
      </c>
      <c r="E305" t="s">
        <v>1994</v>
      </c>
      <c r="F305" t="s">
        <v>1992</v>
      </c>
      <c r="G305" t="s">
        <v>1998</v>
      </c>
      <c r="H305">
        <v>1</v>
      </c>
      <c r="I305">
        <v>380</v>
      </c>
      <c r="J305">
        <v>380</v>
      </c>
      <c r="K305">
        <f t="shared" si="4"/>
        <v>1</v>
      </c>
    </row>
    <row r="306" spans="1:11" x14ac:dyDescent="0.3">
      <c r="A306" t="s">
        <v>314</v>
      </c>
      <c r="B306" s="1">
        <v>45473</v>
      </c>
      <c r="C306" t="s">
        <v>1314</v>
      </c>
      <c r="D306" t="s">
        <v>1806</v>
      </c>
      <c r="E306" t="s">
        <v>1994</v>
      </c>
      <c r="F306" t="s">
        <v>1992</v>
      </c>
      <c r="G306" t="s">
        <v>1995</v>
      </c>
      <c r="H306">
        <v>5</v>
      </c>
      <c r="I306">
        <v>384</v>
      </c>
      <c r="J306">
        <v>1920</v>
      </c>
      <c r="K306">
        <f t="shared" si="4"/>
        <v>1</v>
      </c>
    </row>
    <row r="307" spans="1:11" x14ac:dyDescent="0.3">
      <c r="A307" t="s">
        <v>315</v>
      </c>
      <c r="B307" s="1">
        <v>45465</v>
      </c>
      <c r="C307" t="s">
        <v>1315</v>
      </c>
      <c r="D307" t="s">
        <v>1807</v>
      </c>
      <c r="E307" t="s">
        <v>1991</v>
      </c>
      <c r="F307" t="s">
        <v>1992</v>
      </c>
      <c r="G307" t="s">
        <v>1998</v>
      </c>
      <c r="H307">
        <v>2</v>
      </c>
      <c r="I307">
        <v>276</v>
      </c>
      <c r="J307">
        <v>552</v>
      </c>
      <c r="K307">
        <f t="shared" si="4"/>
        <v>1</v>
      </c>
    </row>
    <row r="308" spans="1:11" x14ac:dyDescent="0.3">
      <c r="A308" t="s">
        <v>316</v>
      </c>
      <c r="B308" s="1">
        <v>45486</v>
      </c>
      <c r="C308" t="s">
        <v>1316</v>
      </c>
      <c r="D308" t="s">
        <v>1808</v>
      </c>
      <c r="E308" t="s">
        <v>1994</v>
      </c>
      <c r="F308" t="s">
        <v>1996</v>
      </c>
      <c r="G308" t="s">
        <v>2004</v>
      </c>
      <c r="H308">
        <v>5</v>
      </c>
      <c r="I308">
        <v>246</v>
      </c>
      <c r="J308">
        <v>1230</v>
      </c>
      <c r="K308">
        <f t="shared" si="4"/>
        <v>1</v>
      </c>
    </row>
    <row r="309" spans="1:11" x14ac:dyDescent="0.3">
      <c r="A309" t="s">
        <v>317</v>
      </c>
      <c r="B309" s="1">
        <v>45542</v>
      </c>
      <c r="C309" t="s">
        <v>1317</v>
      </c>
      <c r="D309" t="s">
        <v>1809</v>
      </c>
      <c r="E309" t="s">
        <v>1994</v>
      </c>
      <c r="F309" t="s">
        <v>1992</v>
      </c>
      <c r="G309" t="s">
        <v>1995</v>
      </c>
      <c r="H309">
        <v>5</v>
      </c>
      <c r="I309">
        <v>374</v>
      </c>
      <c r="J309">
        <v>1870</v>
      </c>
      <c r="K309">
        <f t="shared" si="4"/>
        <v>3</v>
      </c>
    </row>
    <row r="310" spans="1:11" x14ac:dyDescent="0.3">
      <c r="A310" t="s">
        <v>318</v>
      </c>
      <c r="B310" s="1">
        <v>45332</v>
      </c>
      <c r="C310" t="s">
        <v>1318</v>
      </c>
      <c r="D310" t="s">
        <v>1810</v>
      </c>
      <c r="E310" t="s">
        <v>1991</v>
      </c>
      <c r="F310" t="s">
        <v>1996</v>
      </c>
      <c r="G310" t="s">
        <v>1997</v>
      </c>
      <c r="H310">
        <v>3</v>
      </c>
      <c r="I310">
        <v>250</v>
      </c>
      <c r="J310">
        <v>750</v>
      </c>
      <c r="K310">
        <f t="shared" si="4"/>
        <v>1</v>
      </c>
    </row>
    <row r="311" spans="1:11" x14ac:dyDescent="0.3">
      <c r="A311" t="s">
        <v>319</v>
      </c>
      <c r="B311" s="1">
        <v>45550</v>
      </c>
      <c r="C311" t="s">
        <v>1319</v>
      </c>
      <c r="D311" t="s">
        <v>1811</v>
      </c>
      <c r="E311" t="s">
        <v>1994</v>
      </c>
      <c r="F311" t="s">
        <v>1999</v>
      </c>
      <c r="G311" t="s">
        <v>2000</v>
      </c>
      <c r="H311">
        <v>1</v>
      </c>
      <c r="I311">
        <v>34</v>
      </c>
      <c r="J311">
        <v>34</v>
      </c>
      <c r="K311">
        <f t="shared" si="4"/>
        <v>2</v>
      </c>
    </row>
    <row r="312" spans="1:11" x14ac:dyDescent="0.3">
      <c r="A312" t="s">
        <v>320</v>
      </c>
      <c r="B312" s="1">
        <v>45477</v>
      </c>
      <c r="C312" t="s">
        <v>1320</v>
      </c>
      <c r="D312" t="s">
        <v>1812</v>
      </c>
      <c r="E312" t="s">
        <v>1994</v>
      </c>
      <c r="F312" t="s">
        <v>1996</v>
      </c>
      <c r="G312" t="s">
        <v>2001</v>
      </c>
      <c r="H312">
        <v>2</v>
      </c>
      <c r="I312">
        <v>283</v>
      </c>
      <c r="J312">
        <v>566</v>
      </c>
      <c r="K312">
        <f t="shared" si="4"/>
        <v>1</v>
      </c>
    </row>
    <row r="313" spans="1:11" x14ac:dyDescent="0.3">
      <c r="A313" t="s">
        <v>321</v>
      </c>
      <c r="B313" s="1">
        <v>45540</v>
      </c>
      <c r="C313" t="s">
        <v>1321</v>
      </c>
      <c r="D313" t="s">
        <v>1813</v>
      </c>
      <c r="E313" t="s">
        <v>1994</v>
      </c>
      <c r="F313" t="s">
        <v>1992</v>
      </c>
      <c r="G313" t="s">
        <v>1998</v>
      </c>
      <c r="H313">
        <v>4</v>
      </c>
      <c r="I313">
        <v>407</v>
      </c>
      <c r="J313">
        <v>1628</v>
      </c>
      <c r="K313">
        <f t="shared" si="4"/>
        <v>2</v>
      </c>
    </row>
    <row r="314" spans="1:11" x14ac:dyDescent="0.3">
      <c r="A314" t="s">
        <v>322</v>
      </c>
      <c r="B314" s="1">
        <v>45482</v>
      </c>
      <c r="C314" t="s">
        <v>1322</v>
      </c>
      <c r="D314" t="s">
        <v>1814</v>
      </c>
      <c r="E314" t="s">
        <v>1991</v>
      </c>
      <c r="F314" t="s">
        <v>1996</v>
      </c>
      <c r="G314" t="s">
        <v>2001</v>
      </c>
      <c r="H314">
        <v>4</v>
      </c>
      <c r="I314">
        <v>283</v>
      </c>
      <c r="J314">
        <v>1132</v>
      </c>
      <c r="K314">
        <f t="shared" si="4"/>
        <v>4</v>
      </c>
    </row>
    <row r="315" spans="1:11" x14ac:dyDescent="0.3">
      <c r="A315" t="s">
        <v>323</v>
      </c>
      <c r="B315" s="1">
        <v>45342</v>
      </c>
      <c r="C315" t="s">
        <v>1323</v>
      </c>
      <c r="D315" t="s">
        <v>1815</v>
      </c>
      <c r="E315" t="s">
        <v>1994</v>
      </c>
      <c r="F315" t="s">
        <v>1999</v>
      </c>
      <c r="G315" t="s">
        <v>2003</v>
      </c>
      <c r="H315">
        <v>5</v>
      </c>
      <c r="I315">
        <v>42</v>
      </c>
      <c r="J315">
        <v>210</v>
      </c>
      <c r="K315">
        <f t="shared" si="4"/>
        <v>2</v>
      </c>
    </row>
    <row r="316" spans="1:11" x14ac:dyDescent="0.3">
      <c r="A316" t="s">
        <v>324</v>
      </c>
      <c r="B316" s="1">
        <v>45329</v>
      </c>
      <c r="C316" t="s">
        <v>1324</v>
      </c>
      <c r="D316" t="s">
        <v>1816</v>
      </c>
      <c r="E316" t="s">
        <v>1991</v>
      </c>
      <c r="F316" t="s">
        <v>1996</v>
      </c>
      <c r="G316" t="s">
        <v>2004</v>
      </c>
      <c r="H316">
        <v>5</v>
      </c>
      <c r="I316">
        <v>179</v>
      </c>
      <c r="J316">
        <v>895</v>
      </c>
      <c r="K316">
        <f t="shared" si="4"/>
        <v>3</v>
      </c>
    </row>
    <row r="317" spans="1:11" x14ac:dyDescent="0.3">
      <c r="A317" t="s">
        <v>325</v>
      </c>
      <c r="B317" s="1">
        <v>45436</v>
      </c>
      <c r="C317" t="s">
        <v>1325</v>
      </c>
      <c r="D317" t="s">
        <v>1817</v>
      </c>
      <c r="E317" t="s">
        <v>1994</v>
      </c>
      <c r="F317" t="s">
        <v>1992</v>
      </c>
      <c r="G317" t="s">
        <v>1993</v>
      </c>
      <c r="H317">
        <v>1</v>
      </c>
      <c r="I317">
        <v>465</v>
      </c>
      <c r="J317">
        <v>465</v>
      </c>
      <c r="K317">
        <f t="shared" si="4"/>
        <v>1</v>
      </c>
    </row>
    <row r="318" spans="1:11" x14ac:dyDescent="0.3">
      <c r="A318" t="s">
        <v>326</v>
      </c>
      <c r="B318" s="1">
        <v>45354</v>
      </c>
      <c r="C318" t="s">
        <v>1326</v>
      </c>
      <c r="D318" t="s">
        <v>1818</v>
      </c>
      <c r="E318" t="s">
        <v>1991</v>
      </c>
      <c r="F318" t="s">
        <v>1992</v>
      </c>
      <c r="G318" t="s">
        <v>1995</v>
      </c>
      <c r="H318">
        <v>2</v>
      </c>
      <c r="I318">
        <v>390</v>
      </c>
      <c r="J318">
        <v>780</v>
      </c>
      <c r="K318">
        <f t="shared" si="4"/>
        <v>2</v>
      </c>
    </row>
    <row r="319" spans="1:11" x14ac:dyDescent="0.3">
      <c r="A319" t="s">
        <v>327</v>
      </c>
      <c r="B319" s="1">
        <v>45413</v>
      </c>
      <c r="C319" t="s">
        <v>1327</v>
      </c>
      <c r="D319" t="s">
        <v>1819</v>
      </c>
      <c r="E319" t="s">
        <v>1994</v>
      </c>
      <c r="F319" t="s">
        <v>1992</v>
      </c>
      <c r="G319" t="s">
        <v>1993</v>
      </c>
      <c r="H319">
        <v>5</v>
      </c>
      <c r="I319">
        <v>413</v>
      </c>
      <c r="J319">
        <v>2065</v>
      </c>
      <c r="K319">
        <f t="shared" si="4"/>
        <v>2</v>
      </c>
    </row>
    <row r="320" spans="1:11" x14ac:dyDescent="0.3">
      <c r="A320" t="s">
        <v>328</v>
      </c>
      <c r="B320" s="1">
        <v>45360</v>
      </c>
      <c r="C320" t="s">
        <v>1328</v>
      </c>
      <c r="D320" t="s">
        <v>1819</v>
      </c>
      <c r="E320" t="s">
        <v>1991</v>
      </c>
      <c r="F320" t="s">
        <v>1999</v>
      </c>
      <c r="G320" t="s">
        <v>2002</v>
      </c>
      <c r="H320">
        <v>1</v>
      </c>
      <c r="I320">
        <v>13</v>
      </c>
      <c r="J320">
        <v>13</v>
      </c>
      <c r="K320">
        <f t="shared" si="4"/>
        <v>1</v>
      </c>
    </row>
    <row r="321" spans="1:11" x14ac:dyDescent="0.3">
      <c r="A321" t="s">
        <v>329</v>
      </c>
      <c r="B321" s="1">
        <v>45498</v>
      </c>
      <c r="C321" t="s">
        <v>1329</v>
      </c>
      <c r="D321" t="s">
        <v>1820</v>
      </c>
      <c r="E321" t="s">
        <v>1991</v>
      </c>
      <c r="F321" t="s">
        <v>1996</v>
      </c>
      <c r="G321" t="s">
        <v>2001</v>
      </c>
      <c r="H321">
        <v>2</v>
      </c>
      <c r="I321">
        <v>231</v>
      </c>
      <c r="J321">
        <v>462</v>
      </c>
      <c r="K321">
        <f t="shared" si="4"/>
        <v>4</v>
      </c>
    </row>
    <row r="322" spans="1:11" x14ac:dyDescent="0.3">
      <c r="A322" t="s">
        <v>330</v>
      </c>
      <c r="B322" s="1">
        <v>45384</v>
      </c>
      <c r="C322" t="s">
        <v>1330</v>
      </c>
      <c r="D322" t="s">
        <v>1821</v>
      </c>
      <c r="E322" t="s">
        <v>1991</v>
      </c>
      <c r="F322" t="s">
        <v>1996</v>
      </c>
      <c r="G322" t="s">
        <v>2004</v>
      </c>
      <c r="H322">
        <v>1</v>
      </c>
      <c r="I322">
        <v>186</v>
      </c>
      <c r="J322">
        <v>186</v>
      </c>
      <c r="K322">
        <f t="shared" si="4"/>
        <v>1</v>
      </c>
    </row>
    <row r="323" spans="1:11" x14ac:dyDescent="0.3">
      <c r="A323" t="s">
        <v>331</v>
      </c>
      <c r="B323" s="1">
        <v>45386</v>
      </c>
      <c r="C323" t="s">
        <v>1331</v>
      </c>
      <c r="D323" t="s">
        <v>1822</v>
      </c>
      <c r="E323" t="s">
        <v>1994</v>
      </c>
      <c r="F323" t="s">
        <v>1996</v>
      </c>
      <c r="G323" t="s">
        <v>1997</v>
      </c>
      <c r="H323">
        <v>3</v>
      </c>
      <c r="I323">
        <v>152</v>
      </c>
      <c r="J323">
        <v>456</v>
      </c>
      <c r="K323">
        <f t="shared" ref="K323:K386" si="5">COUNTIF(C323:C1322,C323)</f>
        <v>2</v>
      </c>
    </row>
    <row r="324" spans="1:11" x14ac:dyDescent="0.3">
      <c r="A324" t="s">
        <v>332</v>
      </c>
      <c r="B324" s="1">
        <v>45415</v>
      </c>
      <c r="C324" t="s">
        <v>1332</v>
      </c>
      <c r="D324" t="s">
        <v>1820</v>
      </c>
      <c r="E324" t="s">
        <v>1991</v>
      </c>
      <c r="F324" t="s">
        <v>1999</v>
      </c>
      <c r="G324" t="s">
        <v>2000</v>
      </c>
      <c r="H324">
        <v>3</v>
      </c>
      <c r="I324">
        <v>22</v>
      </c>
      <c r="J324">
        <v>66</v>
      </c>
      <c r="K324">
        <f t="shared" si="5"/>
        <v>1</v>
      </c>
    </row>
    <row r="325" spans="1:11" x14ac:dyDescent="0.3">
      <c r="A325" t="s">
        <v>333</v>
      </c>
      <c r="B325" s="1">
        <v>45396</v>
      </c>
      <c r="C325" t="s">
        <v>1333</v>
      </c>
      <c r="D325" t="s">
        <v>1823</v>
      </c>
      <c r="E325" t="s">
        <v>1994</v>
      </c>
      <c r="F325" t="s">
        <v>1996</v>
      </c>
      <c r="G325" t="s">
        <v>2004</v>
      </c>
      <c r="H325">
        <v>1</v>
      </c>
      <c r="I325">
        <v>245</v>
      </c>
      <c r="J325">
        <v>245</v>
      </c>
      <c r="K325">
        <f t="shared" si="5"/>
        <v>1</v>
      </c>
    </row>
    <row r="326" spans="1:11" x14ac:dyDescent="0.3">
      <c r="A326" t="s">
        <v>334</v>
      </c>
      <c r="B326" s="1">
        <v>45551</v>
      </c>
      <c r="C326" t="s">
        <v>1334</v>
      </c>
      <c r="D326" t="s">
        <v>1823</v>
      </c>
      <c r="E326" t="s">
        <v>1994</v>
      </c>
      <c r="F326" t="s">
        <v>1999</v>
      </c>
      <c r="G326" t="s">
        <v>2000</v>
      </c>
      <c r="H326">
        <v>5</v>
      </c>
      <c r="I326">
        <v>47</v>
      </c>
      <c r="J326">
        <v>235</v>
      </c>
      <c r="K326">
        <f t="shared" si="5"/>
        <v>2</v>
      </c>
    </row>
    <row r="327" spans="1:11" x14ac:dyDescent="0.3">
      <c r="A327" t="s">
        <v>335</v>
      </c>
      <c r="B327" s="1">
        <v>45382</v>
      </c>
      <c r="C327" t="s">
        <v>1335</v>
      </c>
      <c r="D327" t="s">
        <v>1824</v>
      </c>
      <c r="E327" t="s">
        <v>1991</v>
      </c>
      <c r="F327" t="s">
        <v>1999</v>
      </c>
      <c r="G327" t="s">
        <v>2000</v>
      </c>
      <c r="H327">
        <v>2</v>
      </c>
      <c r="I327">
        <v>20</v>
      </c>
      <c r="J327">
        <v>40</v>
      </c>
      <c r="K327">
        <f t="shared" si="5"/>
        <v>2</v>
      </c>
    </row>
    <row r="328" spans="1:11" x14ac:dyDescent="0.3">
      <c r="A328" t="s">
        <v>336</v>
      </c>
      <c r="B328" s="1">
        <v>45355</v>
      </c>
      <c r="C328" t="s">
        <v>1336</v>
      </c>
      <c r="D328" t="s">
        <v>1824</v>
      </c>
      <c r="E328" t="s">
        <v>1994</v>
      </c>
      <c r="F328" t="s">
        <v>1999</v>
      </c>
      <c r="G328" t="s">
        <v>2002</v>
      </c>
      <c r="H328">
        <v>3</v>
      </c>
      <c r="I328">
        <v>45</v>
      </c>
      <c r="J328">
        <v>135</v>
      </c>
      <c r="K328">
        <f t="shared" si="5"/>
        <v>1</v>
      </c>
    </row>
    <row r="329" spans="1:11" x14ac:dyDescent="0.3">
      <c r="A329" t="s">
        <v>337</v>
      </c>
      <c r="B329" s="1">
        <v>45537</v>
      </c>
      <c r="C329" t="s">
        <v>1337</v>
      </c>
      <c r="D329" t="s">
        <v>1825</v>
      </c>
      <c r="E329" t="s">
        <v>1994</v>
      </c>
      <c r="F329" t="s">
        <v>1996</v>
      </c>
      <c r="G329" t="s">
        <v>2001</v>
      </c>
      <c r="H329">
        <v>3</v>
      </c>
      <c r="I329">
        <v>174</v>
      </c>
      <c r="J329">
        <v>522</v>
      </c>
      <c r="K329">
        <f t="shared" si="5"/>
        <v>1</v>
      </c>
    </row>
    <row r="330" spans="1:11" x14ac:dyDescent="0.3">
      <c r="A330" t="s">
        <v>338</v>
      </c>
      <c r="B330" s="1">
        <v>45406</v>
      </c>
      <c r="C330" t="s">
        <v>1338</v>
      </c>
      <c r="D330" t="s">
        <v>1826</v>
      </c>
      <c r="E330" t="s">
        <v>1991</v>
      </c>
      <c r="F330" t="s">
        <v>1992</v>
      </c>
      <c r="G330" t="s">
        <v>1993</v>
      </c>
      <c r="H330">
        <v>2</v>
      </c>
      <c r="I330">
        <v>200</v>
      </c>
      <c r="J330">
        <v>400</v>
      </c>
      <c r="K330">
        <f t="shared" si="5"/>
        <v>1</v>
      </c>
    </row>
    <row r="331" spans="1:11" x14ac:dyDescent="0.3">
      <c r="A331" t="s">
        <v>339</v>
      </c>
      <c r="B331" s="1">
        <v>45545</v>
      </c>
      <c r="C331" t="s">
        <v>1339</v>
      </c>
      <c r="D331" t="s">
        <v>1827</v>
      </c>
      <c r="E331" t="s">
        <v>1991</v>
      </c>
      <c r="F331" t="s">
        <v>1996</v>
      </c>
      <c r="G331" t="s">
        <v>1997</v>
      </c>
      <c r="H331">
        <v>2</v>
      </c>
      <c r="I331">
        <v>176</v>
      </c>
      <c r="J331">
        <v>352</v>
      </c>
      <c r="K331">
        <f t="shared" si="5"/>
        <v>1</v>
      </c>
    </row>
    <row r="332" spans="1:11" x14ac:dyDescent="0.3">
      <c r="A332" t="s">
        <v>340</v>
      </c>
      <c r="B332" s="1">
        <v>45385</v>
      </c>
      <c r="C332" t="s">
        <v>1340</v>
      </c>
      <c r="D332" t="s">
        <v>1828</v>
      </c>
      <c r="E332" t="s">
        <v>1994</v>
      </c>
      <c r="F332" t="s">
        <v>1992</v>
      </c>
      <c r="G332" t="s">
        <v>1993</v>
      </c>
      <c r="H332">
        <v>4</v>
      </c>
      <c r="I332">
        <v>259</v>
      </c>
      <c r="J332">
        <v>1036</v>
      </c>
      <c r="K332">
        <f t="shared" si="5"/>
        <v>2</v>
      </c>
    </row>
    <row r="333" spans="1:11" x14ac:dyDescent="0.3">
      <c r="A333" t="s">
        <v>341</v>
      </c>
      <c r="B333" s="1">
        <v>45365</v>
      </c>
      <c r="C333" t="s">
        <v>1341</v>
      </c>
      <c r="D333" t="s">
        <v>1829</v>
      </c>
      <c r="E333" t="s">
        <v>1991</v>
      </c>
      <c r="F333" t="s">
        <v>1992</v>
      </c>
      <c r="G333" t="s">
        <v>1993</v>
      </c>
      <c r="H333">
        <v>1</v>
      </c>
      <c r="I333">
        <v>354</v>
      </c>
      <c r="J333">
        <v>354</v>
      </c>
      <c r="K333">
        <f t="shared" si="5"/>
        <v>3</v>
      </c>
    </row>
    <row r="334" spans="1:11" x14ac:dyDescent="0.3">
      <c r="A334" t="s">
        <v>342</v>
      </c>
      <c r="B334" s="1">
        <v>45305</v>
      </c>
      <c r="C334" t="s">
        <v>1342</v>
      </c>
      <c r="D334" t="s">
        <v>1830</v>
      </c>
      <c r="E334" t="s">
        <v>1994</v>
      </c>
      <c r="F334" t="s">
        <v>1996</v>
      </c>
      <c r="G334" t="s">
        <v>2001</v>
      </c>
      <c r="H334">
        <v>1</v>
      </c>
      <c r="I334">
        <v>244</v>
      </c>
      <c r="J334">
        <v>244</v>
      </c>
      <c r="K334">
        <f t="shared" si="5"/>
        <v>1</v>
      </c>
    </row>
    <row r="335" spans="1:11" x14ac:dyDescent="0.3">
      <c r="A335" t="s">
        <v>343</v>
      </c>
      <c r="B335" s="1">
        <v>45393</v>
      </c>
      <c r="C335" t="s">
        <v>1343</v>
      </c>
      <c r="D335" t="s">
        <v>1831</v>
      </c>
      <c r="E335" t="s">
        <v>1991</v>
      </c>
      <c r="F335" t="s">
        <v>1996</v>
      </c>
      <c r="G335" t="s">
        <v>2001</v>
      </c>
      <c r="H335">
        <v>4</v>
      </c>
      <c r="I335">
        <v>274</v>
      </c>
      <c r="J335">
        <v>1096</v>
      </c>
      <c r="K335">
        <f t="shared" si="5"/>
        <v>1</v>
      </c>
    </row>
    <row r="336" spans="1:11" x14ac:dyDescent="0.3">
      <c r="A336" t="s">
        <v>344</v>
      </c>
      <c r="B336" s="1">
        <v>45479</v>
      </c>
      <c r="C336" t="s">
        <v>1344</v>
      </c>
      <c r="D336" t="s">
        <v>1832</v>
      </c>
      <c r="E336" t="s">
        <v>1991</v>
      </c>
      <c r="F336" t="s">
        <v>1992</v>
      </c>
      <c r="G336" t="s">
        <v>1998</v>
      </c>
      <c r="H336">
        <v>1</v>
      </c>
      <c r="I336">
        <v>255</v>
      </c>
      <c r="J336">
        <v>255</v>
      </c>
      <c r="K336">
        <f t="shared" si="5"/>
        <v>1</v>
      </c>
    </row>
    <row r="337" spans="1:11" x14ac:dyDescent="0.3">
      <c r="A337" t="s">
        <v>345</v>
      </c>
      <c r="B337" s="1">
        <v>45332</v>
      </c>
      <c r="C337" t="s">
        <v>1345</v>
      </c>
      <c r="D337" t="s">
        <v>1833</v>
      </c>
      <c r="E337" t="s">
        <v>1991</v>
      </c>
      <c r="F337" t="s">
        <v>1992</v>
      </c>
      <c r="G337" t="s">
        <v>1993</v>
      </c>
      <c r="H337">
        <v>3</v>
      </c>
      <c r="I337">
        <v>480</v>
      </c>
      <c r="J337">
        <v>1440</v>
      </c>
      <c r="K337">
        <f t="shared" si="5"/>
        <v>4</v>
      </c>
    </row>
    <row r="338" spans="1:11" x14ac:dyDescent="0.3">
      <c r="A338" t="s">
        <v>346</v>
      </c>
      <c r="B338" s="1">
        <v>45372</v>
      </c>
      <c r="C338" t="s">
        <v>1346</v>
      </c>
      <c r="D338" t="s">
        <v>1834</v>
      </c>
      <c r="E338" t="s">
        <v>1994</v>
      </c>
      <c r="F338" t="s">
        <v>1999</v>
      </c>
      <c r="G338" t="s">
        <v>2002</v>
      </c>
      <c r="H338">
        <v>1</v>
      </c>
      <c r="I338">
        <v>26</v>
      </c>
      <c r="J338">
        <v>26</v>
      </c>
      <c r="K338">
        <f t="shared" si="5"/>
        <v>1</v>
      </c>
    </row>
    <row r="339" spans="1:11" x14ac:dyDescent="0.3">
      <c r="A339" t="s">
        <v>347</v>
      </c>
      <c r="B339" s="1">
        <v>45414</v>
      </c>
      <c r="C339" t="s">
        <v>1347</v>
      </c>
      <c r="D339" t="s">
        <v>1835</v>
      </c>
      <c r="E339" t="s">
        <v>1994</v>
      </c>
      <c r="F339" t="s">
        <v>1999</v>
      </c>
      <c r="G339" t="s">
        <v>2002</v>
      </c>
      <c r="H339">
        <v>5</v>
      </c>
      <c r="I339">
        <v>36</v>
      </c>
      <c r="J339">
        <v>180</v>
      </c>
      <c r="K339">
        <f t="shared" si="5"/>
        <v>4</v>
      </c>
    </row>
    <row r="340" spans="1:11" x14ac:dyDescent="0.3">
      <c r="A340" t="s">
        <v>348</v>
      </c>
      <c r="B340" s="1">
        <v>45335</v>
      </c>
      <c r="C340" t="s">
        <v>1348</v>
      </c>
      <c r="D340" t="s">
        <v>1836</v>
      </c>
      <c r="E340" t="s">
        <v>1994</v>
      </c>
      <c r="F340" t="s">
        <v>1996</v>
      </c>
      <c r="G340" t="s">
        <v>2001</v>
      </c>
      <c r="H340">
        <v>4</v>
      </c>
      <c r="I340">
        <v>101</v>
      </c>
      <c r="J340">
        <v>404</v>
      </c>
      <c r="K340">
        <f t="shared" si="5"/>
        <v>3</v>
      </c>
    </row>
    <row r="341" spans="1:11" x14ac:dyDescent="0.3">
      <c r="A341" t="s">
        <v>349</v>
      </c>
      <c r="B341" s="1">
        <v>45381</v>
      </c>
      <c r="C341" t="s">
        <v>1349</v>
      </c>
      <c r="D341" t="s">
        <v>1837</v>
      </c>
      <c r="E341" t="s">
        <v>1994</v>
      </c>
      <c r="F341" t="s">
        <v>1996</v>
      </c>
      <c r="G341" t="s">
        <v>2001</v>
      </c>
      <c r="H341">
        <v>2</v>
      </c>
      <c r="I341">
        <v>183</v>
      </c>
      <c r="J341">
        <v>366</v>
      </c>
      <c r="K341">
        <f t="shared" si="5"/>
        <v>2</v>
      </c>
    </row>
    <row r="342" spans="1:11" x14ac:dyDescent="0.3">
      <c r="A342" t="s">
        <v>350</v>
      </c>
      <c r="B342" s="1">
        <v>45450</v>
      </c>
      <c r="C342" t="s">
        <v>1350</v>
      </c>
      <c r="D342" t="s">
        <v>1838</v>
      </c>
      <c r="E342" t="s">
        <v>1991</v>
      </c>
      <c r="F342" t="s">
        <v>1992</v>
      </c>
      <c r="G342" t="s">
        <v>1998</v>
      </c>
      <c r="H342">
        <v>4</v>
      </c>
      <c r="I342">
        <v>411</v>
      </c>
      <c r="J342">
        <v>1644</v>
      </c>
      <c r="K342">
        <f t="shared" si="5"/>
        <v>1</v>
      </c>
    </row>
    <row r="343" spans="1:11" x14ac:dyDescent="0.3">
      <c r="A343" t="s">
        <v>351</v>
      </c>
      <c r="B343" s="1">
        <v>45558</v>
      </c>
      <c r="C343" t="s">
        <v>1351</v>
      </c>
      <c r="D343" t="s">
        <v>1839</v>
      </c>
      <c r="E343" t="s">
        <v>1991</v>
      </c>
      <c r="F343" t="s">
        <v>1996</v>
      </c>
      <c r="G343" t="s">
        <v>1997</v>
      </c>
      <c r="H343">
        <v>3</v>
      </c>
      <c r="I343">
        <v>274</v>
      </c>
      <c r="J343">
        <v>822</v>
      </c>
      <c r="K343">
        <f t="shared" si="5"/>
        <v>2</v>
      </c>
    </row>
    <row r="344" spans="1:11" x14ac:dyDescent="0.3">
      <c r="A344" t="s">
        <v>352</v>
      </c>
      <c r="B344" s="1">
        <v>45529</v>
      </c>
      <c r="C344" t="s">
        <v>1352</v>
      </c>
      <c r="D344" t="s">
        <v>1840</v>
      </c>
      <c r="E344" t="s">
        <v>1991</v>
      </c>
      <c r="F344" t="s">
        <v>1996</v>
      </c>
      <c r="G344" t="s">
        <v>1997</v>
      </c>
      <c r="H344">
        <v>2</v>
      </c>
      <c r="I344">
        <v>214</v>
      </c>
      <c r="J344">
        <v>428</v>
      </c>
      <c r="K344">
        <f t="shared" si="5"/>
        <v>2</v>
      </c>
    </row>
    <row r="345" spans="1:11" x14ac:dyDescent="0.3">
      <c r="A345" t="s">
        <v>353</v>
      </c>
      <c r="B345" s="1">
        <v>45438</v>
      </c>
      <c r="C345" t="s">
        <v>1353</v>
      </c>
      <c r="D345" t="s">
        <v>1841</v>
      </c>
      <c r="E345" t="s">
        <v>1994</v>
      </c>
      <c r="F345" t="s">
        <v>1999</v>
      </c>
      <c r="G345" t="s">
        <v>2003</v>
      </c>
      <c r="H345">
        <v>4</v>
      </c>
      <c r="I345">
        <v>47</v>
      </c>
      <c r="J345">
        <v>188</v>
      </c>
      <c r="K345">
        <f t="shared" si="5"/>
        <v>1</v>
      </c>
    </row>
    <row r="346" spans="1:11" x14ac:dyDescent="0.3">
      <c r="A346" t="s">
        <v>354</v>
      </c>
      <c r="B346" s="1">
        <v>45367</v>
      </c>
      <c r="C346" t="s">
        <v>1354</v>
      </c>
      <c r="D346" t="s">
        <v>1842</v>
      </c>
      <c r="E346" t="s">
        <v>1991</v>
      </c>
      <c r="F346" t="s">
        <v>1992</v>
      </c>
      <c r="G346" t="s">
        <v>1993</v>
      </c>
      <c r="H346">
        <v>1</v>
      </c>
      <c r="I346">
        <v>218</v>
      </c>
      <c r="J346">
        <v>218</v>
      </c>
      <c r="K346">
        <f t="shared" si="5"/>
        <v>2</v>
      </c>
    </row>
    <row r="347" spans="1:11" x14ac:dyDescent="0.3">
      <c r="A347" t="s">
        <v>355</v>
      </c>
      <c r="B347" s="1">
        <v>45388</v>
      </c>
      <c r="C347" t="s">
        <v>1355</v>
      </c>
      <c r="D347" t="s">
        <v>1843</v>
      </c>
      <c r="E347" t="s">
        <v>1994</v>
      </c>
      <c r="F347" t="s">
        <v>1999</v>
      </c>
      <c r="G347" t="s">
        <v>2000</v>
      </c>
      <c r="H347">
        <v>1</v>
      </c>
      <c r="I347">
        <v>36</v>
      </c>
      <c r="J347">
        <v>36</v>
      </c>
      <c r="K347">
        <f t="shared" si="5"/>
        <v>1</v>
      </c>
    </row>
    <row r="348" spans="1:11" x14ac:dyDescent="0.3">
      <c r="A348" t="s">
        <v>356</v>
      </c>
      <c r="B348" s="1">
        <v>45502</v>
      </c>
      <c r="C348" t="s">
        <v>1356</v>
      </c>
      <c r="D348" t="s">
        <v>1844</v>
      </c>
      <c r="E348" t="s">
        <v>1994</v>
      </c>
      <c r="F348" t="s">
        <v>1992</v>
      </c>
      <c r="G348" t="s">
        <v>1993</v>
      </c>
      <c r="H348">
        <v>2</v>
      </c>
      <c r="I348">
        <v>492</v>
      </c>
      <c r="J348">
        <v>984</v>
      </c>
      <c r="K348">
        <f t="shared" si="5"/>
        <v>1</v>
      </c>
    </row>
    <row r="349" spans="1:11" x14ac:dyDescent="0.3">
      <c r="A349" t="s">
        <v>357</v>
      </c>
      <c r="B349" s="1">
        <v>45320</v>
      </c>
      <c r="C349" t="s">
        <v>1357</v>
      </c>
      <c r="D349" t="s">
        <v>1845</v>
      </c>
      <c r="E349" t="s">
        <v>1991</v>
      </c>
      <c r="F349" t="s">
        <v>1999</v>
      </c>
      <c r="G349" t="s">
        <v>2000</v>
      </c>
      <c r="H349">
        <v>2</v>
      </c>
      <c r="I349">
        <v>12</v>
      </c>
      <c r="J349">
        <v>24</v>
      </c>
      <c r="K349">
        <f t="shared" si="5"/>
        <v>1</v>
      </c>
    </row>
    <row r="350" spans="1:11" x14ac:dyDescent="0.3">
      <c r="A350" t="s">
        <v>358</v>
      </c>
      <c r="B350" s="1">
        <v>45457</v>
      </c>
      <c r="C350" t="s">
        <v>1358</v>
      </c>
      <c r="D350" t="s">
        <v>1846</v>
      </c>
      <c r="E350" t="s">
        <v>1991</v>
      </c>
      <c r="F350" t="s">
        <v>1992</v>
      </c>
      <c r="G350" t="s">
        <v>1995</v>
      </c>
      <c r="H350">
        <v>4</v>
      </c>
      <c r="I350">
        <v>407</v>
      </c>
      <c r="J350">
        <v>1628</v>
      </c>
      <c r="K350">
        <f t="shared" si="5"/>
        <v>3</v>
      </c>
    </row>
    <row r="351" spans="1:11" x14ac:dyDescent="0.3">
      <c r="A351" t="s">
        <v>359</v>
      </c>
      <c r="B351" s="1">
        <v>45296</v>
      </c>
      <c r="C351" t="s">
        <v>1359</v>
      </c>
      <c r="D351" t="s">
        <v>1847</v>
      </c>
      <c r="E351" t="s">
        <v>1994</v>
      </c>
      <c r="F351" t="s">
        <v>1996</v>
      </c>
      <c r="G351" t="s">
        <v>2004</v>
      </c>
      <c r="H351">
        <v>2</v>
      </c>
      <c r="I351">
        <v>165</v>
      </c>
      <c r="J351">
        <v>330</v>
      </c>
      <c r="K351">
        <f t="shared" si="5"/>
        <v>2</v>
      </c>
    </row>
    <row r="352" spans="1:11" x14ac:dyDescent="0.3">
      <c r="A352" t="s">
        <v>360</v>
      </c>
      <c r="B352" s="1">
        <v>45438</v>
      </c>
      <c r="C352" t="s">
        <v>1360</v>
      </c>
      <c r="D352" t="s">
        <v>1848</v>
      </c>
      <c r="E352" t="s">
        <v>1994</v>
      </c>
      <c r="F352" t="s">
        <v>1996</v>
      </c>
      <c r="G352" t="s">
        <v>1997</v>
      </c>
      <c r="H352">
        <v>3</v>
      </c>
      <c r="I352">
        <v>108</v>
      </c>
      <c r="J352">
        <v>324</v>
      </c>
      <c r="K352">
        <f t="shared" si="5"/>
        <v>2</v>
      </c>
    </row>
    <row r="353" spans="1:11" x14ac:dyDescent="0.3">
      <c r="A353" t="s">
        <v>361</v>
      </c>
      <c r="B353" s="1">
        <v>45297</v>
      </c>
      <c r="C353" t="s">
        <v>1361</v>
      </c>
      <c r="D353" t="s">
        <v>1849</v>
      </c>
      <c r="E353" t="s">
        <v>1994</v>
      </c>
      <c r="F353" t="s">
        <v>1996</v>
      </c>
      <c r="G353" t="s">
        <v>2001</v>
      </c>
      <c r="H353">
        <v>4</v>
      </c>
      <c r="I353">
        <v>173</v>
      </c>
      <c r="J353">
        <v>692</v>
      </c>
      <c r="K353">
        <f t="shared" si="5"/>
        <v>2</v>
      </c>
    </row>
    <row r="354" spans="1:11" x14ac:dyDescent="0.3">
      <c r="A354" t="s">
        <v>362</v>
      </c>
      <c r="B354" s="1">
        <v>45424</v>
      </c>
      <c r="C354" t="s">
        <v>1362</v>
      </c>
      <c r="D354" t="s">
        <v>1850</v>
      </c>
      <c r="E354" t="s">
        <v>1994</v>
      </c>
      <c r="F354" t="s">
        <v>1996</v>
      </c>
      <c r="G354" t="s">
        <v>2004</v>
      </c>
      <c r="H354">
        <v>1</v>
      </c>
      <c r="I354">
        <v>257</v>
      </c>
      <c r="J354">
        <v>257</v>
      </c>
      <c r="K354">
        <f t="shared" si="5"/>
        <v>1</v>
      </c>
    </row>
    <row r="355" spans="1:11" x14ac:dyDescent="0.3">
      <c r="A355" t="s">
        <v>363</v>
      </c>
      <c r="B355" s="1">
        <v>45543</v>
      </c>
      <c r="C355" t="s">
        <v>1363</v>
      </c>
      <c r="D355" t="s">
        <v>1851</v>
      </c>
      <c r="E355" t="s">
        <v>1991</v>
      </c>
      <c r="F355" t="s">
        <v>1999</v>
      </c>
      <c r="G355" t="s">
        <v>2002</v>
      </c>
      <c r="H355">
        <v>1</v>
      </c>
      <c r="I355">
        <v>50</v>
      </c>
      <c r="J355">
        <v>50</v>
      </c>
      <c r="K355">
        <f t="shared" si="5"/>
        <v>1</v>
      </c>
    </row>
    <row r="356" spans="1:11" x14ac:dyDescent="0.3">
      <c r="A356" t="s">
        <v>364</v>
      </c>
      <c r="B356" s="1">
        <v>45523</v>
      </c>
      <c r="C356" t="s">
        <v>1364</v>
      </c>
      <c r="D356" t="s">
        <v>1852</v>
      </c>
      <c r="E356" t="s">
        <v>1991</v>
      </c>
      <c r="F356" t="s">
        <v>1999</v>
      </c>
      <c r="G356" t="s">
        <v>2003</v>
      </c>
      <c r="H356">
        <v>3</v>
      </c>
      <c r="I356">
        <v>15</v>
      </c>
      <c r="J356">
        <v>45</v>
      </c>
      <c r="K356">
        <f t="shared" si="5"/>
        <v>2</v>
      </c>
    </row>
    <row r="357" spans="1:11" x14ac:dyDescent="0.3">
      <c r="A357" t="s">
        <v>365</v>
      </c>
      <c r="B357" s="1">
        <v>45492</v>
      </c>
      <c r="C357" t="s">
        <v>1365</v>
      </c>
      <c r="D357" t="s">
        <v>1853</v>
      </c>
      <c r="E357" t="s">
        <v>1991</v>
      </c>
      <c r="F357" t="s">
        <v>1992</v>
      </c>
      <c r="G357" t="s">
        <v>1998</v>
      </c>
      <c r="H357">
        <v>2</v>
      </c>
      <c r="I357">
        <v>251</v>
      </c>
      <c r="J357">
        <v>502</v>
      </c>
      <c r="K357">
        <f t="shared" si="5"/>
        <v>1</v>
      </c>
    </row>
    <row r="358" spans="1:11" x14ac:dyDescent="0.3">
      <c r="A358" t="s">
        <v>366</v>
      </c>
      <c r="B358" s="1">
        <v>45549</v>
      </c>
      <c r="C358" t="s">
        <v>1366</v>
      </c>
      <c r="D358" t="s">
        <v>1854</v>
      </c>
      <c r="E358" t="s">
        <v>1991</v>
      </c>
      <c r="F358" t="s">
        <v>1999</v>
      </c>
      <c r="G358" t="s">
        <v>2003</v>
      </c>
      <c r="H358">
        <v>3</v>
      </c>
      <c r="I358">
        <v>17</v>
      </c>
      <c r="J358">
        <v>51</v>
      </c>
      <c r="K358">
        <f t="shared" si="5"/>
        <v>1</v>
      </c>
    </row>
    <row r="359" spans="1:11" x14ac:dyDescent="0.3">
      <c r="A359" t="s">
        <v>367</v>
      </c>
      <c r="B359" s="1">
        <v>45424</v>
      </c>
      <c r="C359" t="s">
        <v>1367</v>
      </c>
      <c r="D359" t="s">
        <v>1855</v>
      </c>
      <c r="E359" t="s">
        <v>1994</v>
      </c>
      <c r="F359" t="s">
        <v>1992</v>
      </c>
      <c r="G359" t="s">
        <v>1998</v>
      </c>
      <c r="H359">
        <v>2</v>
      </c>
      <c r="I359">
        <v>201</v>
      </c>
      <c r="J359">
        <v>402</v>
      </c>
      <c r="K359">
        <f t="shared" si="5"/>
        <v>2</v>
      </c>
    </row>
    <row r="360" spans="1:11" x14ac:dyDescent="0.3">
      <c r="A360" t="s">
        <v>368</v>
      </c>
      <c r="B360" s="1">
        <v>45467</v>
      </c>
      <c r="C360" t="s">
        <v>1368</v>
      </c>
      <c r="D360" t="s">
        <v>1848</v>
      </c>
      <c r="E360" t="s">
        <v>1991</v>
      </c>
      <c r="F360" t="s">
        <v>1996</v>
      </c>
      <c r="G360" t="s">
        <v>1997</v>
      </c>
      <c r="H360">
        <v>5</v>
      </c>
      <c r="I360">
        <v>206</v>
      </c>
      <c r="J360">
        <v>1030</v>
      </c>
      <c r="K360">
        <f t="shared" si="5"/>
        <v>1</v>
      </c>
    </row>
    <row r="361" spans="1:11" x14ac:dyDescent="0.3">
      <c r="A361" t="s">
        <v>369</v>
      </c>
      <c r="B361" s="1">
        <v>45329</v>
      </c>
      <c r="C361" t="s">
        <v>1369</v>
      </c>
      <c r="D361" t="s">
        <v>1849</v>
      </c>
      <c r="E361" t="s">
        <v>1991</v>
      </c>
      <c r="F361" t="s">
        <v>1996</v>
      </c>
      <c r="G361" t="s">
        <v>2001</v>
      </c>
      <c r="H361">
        <v>4</v>
      </c>
      <c r="I361">
        <v>251</v>
      </c>
      <c r="J361">
        <v>1004</v>
      </c>
      <c r="K361">
        <f t="shared" si="5"/>
        <v>1</v>
      </c>
    </row>
    <row r="362" spans="1:11" x14ac:dyDescent="0.3">
      <c r="A362" t="s">
        <v>370</v>
      </c>
      <c r="B362" s="1">
        <v>45341</v>
      </c>
      <c r="C362" t="s">
        <v>1370</v>
      </c>
      <c r="D362" t="s">
        <v>1856</v>
      </c>
      <c r="E362" t="s">
        <v>1994</v>
      </c>
      <c r="F362" t="s">
        <v>1996</v>
      </c>
      <c r="G362" t="s">
        <v>2004</v>
      </c>
      <c r="H362">
        <v>3</v>
      </c>
      <c r="I362">
        <v>216</v>
      </c>
      <c r="J362">
        <v>648</v>
      </c>
      <c r="K362">
        <f t="shared" si="5"/>
        <v>2</v>
      </c>
    </row>
    <row r="363" spans="1:11" x14ac:dyDescent="0.3">
      <c r="A363" t="s">
        <v>371</v>
      </c>
      <c r="B363" s="1">
        <v>45397</v>
      </c>
      <c r="C363" t="s">
        <v>1371</v>
      </c>
      <c r="D363" t="s">
        <v>1857</v>
      </c>
      <c r="E363" t="s">
        <v>1991</v>
      </c>
      <c r="F363" t="s">
        <v>1999</v>
      </c>
      <c r="G363" t="s">
        <v>2003</v>
      </c>
      <c r="H363">
        <v>3</v>
      </c>
      <c r="I363">
        <v>45</v>
      </c>
      <c r="J363">
        <v>135</v>
      </c>
      <c r="K363">
        <f t="shared" si="5"/>
        <v>2</v>
      </c>
    </row>
    <row r="364" spans="1:11" x14ac:dyDescent="0.3">
      <c r="A364" t="s">
        <v>372</v>
      </c>
      <c r="B364" s="1">
        <v>45359</v>
      </c>
      <c r="C364" t="s">
        <v>1372</v>
      </c>
      <c r="D364" t="s">
        <v>1858</v>
      </c>
      <c r="E364" t="s">
        <v>1994</v>
      </c>
      <c r="F364" t="s">
        <v>1999</v>
      </c>
      <c r="G364" t="s">
        <v>2003</v>
      </c>
      <c r="H364">
        <v>4</v>
      </c>
      <c r="I364">
        <v>33</v>
      </c>
      <c r="J364">
        <v>132</v>
      </c>
      <c r="K364">
        <f t="shared" si="5"/>
        <v>2</v>
      </c>
    </row>
    <row r="365" spans="1:11" x14ac:dyDescent="0.3">
      <c r="A365" t="s">
        <v>373</v>
      </c>
      <c r="B365" s="1">
        <v>45467</v>
      </c>
      <c r="C365" t="s">
        <v>1373</v>
      </c>
      <c r="D365" t="s">
        <v>1859</v>
      </c>
      <c r="E365" t="s">
        <v>1991</v>
      </c>
      <c r="F365" t="s">
        <v>1996</v>
      </c>
      <c r="G365" t="s">
        <v>2004</v>
      </c>
      <c r="H365">
        <v>5</v>
      </c>
      <c r="I365">
        <v>100</v>
      </c>
      <c r="J365">
        <v>500</v>
      </c>
      <c r="K365">
        <f t="shared" si="5"/>
        <v>3</v>
      </c>
    </row>
    <row r="366" spans="1:11" x14ac:dyDescent="0.3">
      <c r="A366" t="s">
        <v>374</v>
      </c>
      <c r="B366" s="1">
        <v>45544</v>
      </c>
      <c r="C366" t="s">
        <v>1374</v>
      </c>
      <c r="D366" t="s">
        <v>1860</v>
      </c>
      <c r="E366" t="s">
        <v>1994</v>
      </c>
      <c r="F366" t="s">
        <v>1996</v>
      </c>
      <c r="G366" t="s">
        <v>2001</v>
      </c>
      <c r="H366">
        <v>4</v>
      </c>
      <c r="I366">
        <v>299</v>
      </c>
      <c r="J366">
        <v>1196</v>
      </c>
      <c r="K366">
        <f t="shared" si="5"/>
        <v>1</v>
      </c>
    </row>
    <row r="367" spans="1:11" x14ac:dyDescent="0.3">
      <c r="A367" t="s">
        <v>375</v>
      </c>
      <c r="B367" s="1">
        <v>45424</v>
      </c>
      <c r="C367" t="s">
        <v>1375</v>
      </c>
      <c r="D367" t="s">
        <v>1861</v>
      </c>
      <c r="E367" t="s">
        <v>1994</v>
      </c>
      <c r="F367" t="s">
        <v>1996</v>
      </c>
      <c r="G367" t="s">
        <v>1997</v>
      </c>
      <c r="H367">
        <v>3</v>
      </c>
      <c r="I367">
        <v>112</v>
      </c>
      <c r="J367">
        <v>336</v>
      </c>
      <c r="K367">
        <f t="shared" si="5"/>
        <v>2</v>
      </c>
    </row>
    <row r="368" spans="1:11" x14ac:dyDescent="0.3">
      <c r="A368" t="s">
        <v>376</v>
      </c>
      <c r="B368" s="1">
        <v>45562</v>
      </c>
      <c r="C368" t="s">
        <v>1376</v>
      </c>
      <c r="D368" t="s">
        <v>1862</v>
      </c>
      <c r="E368" t="s">
        <v>1994</v>
      </c>
      <c r="F368" t="s">
        <v>1996</v>
      </c>
      <c r="G368" t="s">
        <v>2004</v>
      </c>
      <c r="H368">
        <v>5</v>
      </c>
      <c r="I368">
        <v>187</v>
      </c>
      <c r="J368">
        <v>935</v>
      </c>
      <c r="K368">
        <f t="shared" si="5"/>
        <v>2</v>
      </c>
    </row>
    <row r="369" spans="1:11" x14ac:dyDescent="0.3">
      <c r="A369" t="s">
        <v>377</v>
      </c>
      <c r="B369" s="1">
        <v>45415</v>
      </c>
      <c r="C369" t="s">
        <v>1377</v>
      </c>
      <c r="D369" t="s">
        <v>1863</v>
      </c>
      <c r="E369" t="s">
        <v>1991</v>
      </c>
      <c r="F369" t="s">
        <v>1996</v>
      </c>
      <c r="G369" t="s">
        <v>2004</v>
      </c>
      <c r="H369">
        <v>5</v>
      </c>
      <c r="I369">
        <v>106</v>
      </c>
      <c r="J369">
        <v>530</v>
      </c>
      <c r="K369">
        <f t="shared" si="5"/>
        <v>1</v>
      </c>
    </row>
    <row r="370" spans="1:11" x14ac:dyDescent="0.3">
      <c r="A370" t="s">
        <v>378</v>
      </c>
      <c r="B370" s="1">
        <v>45342</v>
      </c>
      <c r="C370" t="s">
        <v>1378</v>
      </c>
      <c r="D370" t="s">
        <v>1864</v>
      </c>
      <c r="E370" t="s">
        <v>1994</v>
      </c>
      <c r="F370" t="s">
        <v>1992</v>
      </c>
      <c r="G370" t="s">
        <v>1995</v>
      </c>
      <c r="H370">
        <v>2</v>
      </c>
      <c r="I370">
        <v>299</v>
      </c>
      <c r="J370">
        <v>598</v>
      </c>
      <c r="K370">
        <f t="shared" si="5"/>
        <v>1</v>
      </c>
    </row>
    <row r="371" spans="1:11" x14ac:dyDescent="0.3">
      <c r="A371" t="s">
        <v>379</v>
      </c>
      <c r="B371" s="1">
        <v>45533</v>
      </c>
      <c r="C371" t="s">
        <v>1379</v>
      </c>
      <c r="D371" t="s">
        <v>1865</v>
      </c>
      <c r="E371" t="s">
        <v>1991</v>
      </c>
      <c r="F371" t="s">
        <v>1996</v>
      </c>
      <c r="G371" t="s">
        <v>2004</v>
      </c>
      <c r="H371">
        <v>2</v>
      </c>
      <c r="I371">
        <v>117</v>
      </c>
      <c r="J371">
        <v>234</v>
      </c>
      <c r="K371">
        <f t="shared" si="5"/>
        <v>1</v>
      </c>
    </row>
    <row r="372" spans="1:11" x14ac:dyDescent="0.3">
      <c r="A372" t="s">
        <v>380</v>
      </c>
      <c r="B372" s="1">
        <v>45514</v>
      </c>
      <c r="C372" t="s">
        <v>1380</v>
      </c>
      <c r="D372" t="s">
        <v>1866</v>
      </c>
      <c r="E372" t="s">
        <v>1994</v>
      </c>
      <c r="F372" t="s">
        <v>1996</v>
      </c>
      <c r="G372" t="s">
        <v>2001</v>
      </c>
      <c r="H372">
        <v>2</v>
      </c>
      <c r="I372">
        <v>231</v>
      </c>
      <c r="J372">
        <v>462</v>
      </c>
      <c r="K372">
        <f t="shared" si="5"/>
        <v>2</v>
      </c>
    </row>
    <row r="373" spans="1:11" x14ac:dyDescent="0.3">
      <c r="A373" t="s">
        <v>381</v>
      </c>
      <c r="B373" s="1">
        <v>45366</v>
      </c>
      <c r="C373" t="s">
        <v>1381</v>
      </c>
      <c r="D373" t="s">
        <v>1867</v>
      </c>
      <c r="E373" t="s">
        <v>1994</v>
      </c>
      <c r="F373" t="s">
        <v>1999</v>
      </c>
      <c r="G373" t="s">
        <v>2002</v>
      </c>
      <c r="H373">
        <v>4</v>
      </c>
      <c r="I373">
        <v>26</v>
      </c>
      <c r="J373">
        <v>104</v>
      </c>
      <c r="K373">
        <f t="shared" si="5"/>
        <v>1</v>
      </c>
    </row>
    <row r="374" spans="1:11" x14ac:dyDescent="0.3">
      <c r="A374" t="s">
        <v>382</v>
      </c>
      <c r="B374" s="1">
        <v>45343</v>
      </c>
      <c r="C374" t="s">
        <v>1382</v>
      </c>
      <c r="D374" t="s">
        <v>1868</v>
      </c>
      <c r="E374" t="s">
        <v>1994</v>
      </c>
      <c r="F374" t="s">
        <v>1996</v>
      </c>
      <c r="G374" t="s">
        <v>2001</v>
      </c>
      <c r="H374">
        <v>5</v>
      </c>
      <c r="I374">
        <v>210</v>
      </c>
      <c r="J374">
        <v>1050</v>
      </c>
      <c r="K374">
        <f t="shared" si="5"/>
        <v>2</v>
      </c>
    </row>
    <row r="375" spans="1:11" x14ac:dyDescent="0.3">
      <c r="A375" t="s">
        <v>383</v>
      </c>
      <c r="B375" s="1">
        <v>45550</v>
      </c>
      <c r="C375" t="s">
        <v>1383</v>
      </c>
      <c r="D375" t="s">
        <v>1869</v>
      </c>
      <c r="E375" t="s">
        <v>1991</v>
      </c>
      <c r="F375" t="s">
        <v>1992</v>
      </c>
      <c r="G375" t="s">
        <v>1995</v>
      </c>
      <c r="H375">
        <v>5</v>
      </c>
      <c r="I375">
        <v>500</v>
      </c>
      <c r="J375">
        <v>2500</v>
      </c>
      <c r="K375">
        <f t="shared" si="5"/>
        <v>3</v>
      </c>
    </row>
    <row r="376" spans="1:11" x14ac:dyDescent="0.3">
      <c r="A376" t="s">
        <v>384</v>
      </c>
      <c r="B376" s="1">
        <v>45508</v>
      </c>
      <c r="C376" t="s">
        <v>1384</v>
      </c>
      <c r="D376" t="s">
        <v>1870</v>
      </c>
      <c r="E376" t="s">
        <v>1994</v>
      </c>
      <c r="F376" t="s">
        <v>1999</v>
      </c>
      <c r="G376" t="s">
        <v>2002</v>
      </c>
      <c r="H376">
        <v>3</v>
      </c>
      <c r="I376">
        <v>13</v>
      </c>
      <c r="J376">
        <v>39</v>
      </c>
      <c r="K376">
        <f t="shared" si="5"/>
        <v>3</v>
      </c>
    </row>
    <row r="377" spans="1:11" x14ac:dyDescent="0.3">
      <c r="A377" t="s">
        <v>385</v>
      </c>
      <c r="B377" s="1">
        <v>45439</v>
      </c>
      <c r="C377" t="s">
        <v>1385</v>
      </c>
      <c r="D377" t="s">
        <v>1871</v>
      </c>
      <c r="E377" t="s">
        <v>1991</v>
      </c>
      <c r="F377" t="s">
        <v>1996</v>
      </c>
      <c r="G377" t="s">
        <v>2001</v>
      </c>
      <c r="H377">
        <v>2</v>
      </c>
      <c r="I377">
        <v>248</v>
      </c>
      <c r="J377">
        <v>496</v>
      </c>
      <c r="K377">
        <f t="shared" si="5"/>
        <v>1</v>
      </c>
    </row>
    <row r="378" spans="1:11" x14ac:dyDescent="0.3">
      <c r="A378" t="s">
        <v>386</v>
      </c>
      <c r="B378" s="1">
        <v>45500</v>
      </c>
      <c r="C378" t="s">
        <v>1386</v>
      </c>
      <c r="D378" t="s">
        <v>1872</v>
      </c>
      <c r="E378" t="s">
        <v>1994</v>
      </c>
      <c r="F378" t="s">
        <v>1996</v>
      </c>
      <c r="G378" t="s">
        <v>1997</v>
      </c>
      <c r="H378">
        <v>4</v>
      </c>
      <c r="I378">
        <v>141</v>
      </c>
      <c r="J378">
        <v>564</v>
      </c>
      <c r="K378">
        <f t="shared" si="5"/>
        <v>1</v>
      </c>
    </row>
    <row r="379" spans="1:11" x14ac:dyDescent="0.3">
      <c r="A379" t="s">
        <v>387</v>
      </c>
      <c r="B379" s="1">
        <v>45558</v>
      </c>
      <c r="C379" t="s">
        <v>1387</v>
      </c>
      <c r="D379" t="s">
        <v>1873</v>
      </c>
      <c r="E379" t="s">
        <v>1994</v>
      </c>
      <c r="F379" t="s">
        <v>1999</v>
      </c>
      <c r="G379" t="s">
        <v>2000</v>
      </c>
      <c r="H379">
        <v>1</v>
      </c>
      <c r="I379">
        <v>13</v>
      </c>
      <c r="J379">
        <v>13</v>
      </c>
      <c r="K379">
        <f t="shared" si="5"/>
        <v>3</v>
      </c>
    </row>
    <row r="380" spans="1:11" x14ac:dyDescent="0.3">
      <c r="A380" t="s">
        <v>388</v>
      </c>
      <c r="B380" s="1">
        <v>45417</v>
      </c>
      <c r="C380" t="s">
        <v>1388</v>
      </c>
      <c r="D380" t="s">
        <v>1874</v>
      </c>
      <c r="E380" t="s">
        <v>1991</v>
      </c>
      <c r="F380" t="s">
        <v>1992</v>
      </c>
      <c r="G380" t="s">
        <v>1995</v>
      </c>
      <c r="H380">
        <v>1</v>
      </c>
      <c r="I380">
        <v>367</v>
      </c>
      <c r="J380">
        <v>367</v>
      </c>
      <c r="K380">
        <f t="shared" si="5"/>
        <v>1</v>
      </c>
    </row>
    <row r="381" spans="1:11" x14ac:dyDescent="0.3">
      <c r="A381" t="s">
        <v>389</v>
      </c>
      <c r="B381" s="1">
        <v>45430</v>
      </c>
      <c r="C381" t="s">
        <v>1389</v>
      </c>
      <c r="D381" t="s">
        <v>1875</v>
      </c>
      <c r="E381" t="s">
        <v>1994</v>
      </c>
      <c r="F381" t="s">
        <v>1996</v>
      </c>
      <c r="G381" t="s">
        <v>2004</v>
      </c>
      <c r="H381">
        <v>1</v>
      </c>
      <c r="I381">
        <v>241</v>
      </c>
      <c r="J381">
        <v>241</v>
      </c>
      <c r="K381">
        <f t="shared" si="5"/>
        <v>2</v>
      </c>
    </row>
    <row r="382" spans="1:11" x14ac:dyDescent="0.3">
      <c r="A382" t="s">
        <v>390</v>
      </c>
      <c r="B382" s="1">
        <v>45524</v>
      </c>
      <c r="C382" t="s">
        <v>1390</v>
      </c>
      <c r="D382" t="s">
        <v>1876</v>
      </c>
      <c r="E382" t="s">
        <v>1994</v>
      </c>
      <c r="F382" t="s">
        <v>1996</v>
      </c>
      <c r="G382" t="s">
        <v>2004</v>
      </c>
      <c r="H382">
        <v>3</v>
      </c>
      <c r="I382">
        <v>110</v>
      </c>
      <c r="J382">
        <v>330</v>
      </c>
      <c r="K382">
        <f t="shared" si="5"/>
        <v>1</v>
      </c>
    </row>
    <row r="383" spans="1:11" x14ac:dyDescent="0.3">
      <c r="A383" t="s">
        <v>391</v>
      </c>
      <c r="B383" s="1">
        <v>45522</v>
      </c>
      <c r="C383" t="s">
        <v>1391</v>
      </c>
      <c r="D383" t="s">
        <v>1877</v>
      </c>
      <c r="E383" t="s">
        <v>1994</v>
      </c>
      <c r="F383" t="s">
        <v>1999</v>
      </c>
      <c r="G383" t="s">
        <v>2000</v>
      </c>
      <c r="H383">
        <v>3</v>
      </c>
      <c r="I383">
        <v>12</v>
      </c>
      <c r="J383">
        <v>36</v>
      </c>
      <c r="K383">
        <f t="shared" si="5"/>
        <v>1</v>
      </c>
    </row>
    <row r="384" spans="1:11" x14ac:dyDescent="0.3">
      <c r="A384" t="s">
        <v>392</v>
      </c>
      <c r="B384" s="1">
        <v>45369</v>
      </c>
      <c r="C384" t="s">
        <v>1392</v>
      </c>
      <c r="D384" t="s">
        <v>1878</v>
      </c>
      <c r="E384" t="s">
        <v>1991</v>
      </c>
      <c r="F384" t="s">
        <v>1996</v>
      </c>
      <c r="G384" t="s">
        <v>1997</v>
      </c>
      <c r="H384">
        <v>5</v>
      </c>
      <c r="I384">
        <v>262</v>
      </c>
      <c r="J384">
        <v>1310</v>
      </c>
      <c r="K384">
        <f t="shared" si="5"/>
        <v>2</v>
      </c>
    </row>
    <row r="385" spans="1:11" x14ac:dyDescent="0.3">
      <c r="A385" t="s">
        <v>393</v>
      </c>
      <c r="B385" s="1">
        <v>45457</v>
      </c>
      <c r="C385" t="s">
        <v>1393</v>
      </c>
      <c r="D385" t="s">
        <v>1879</v>
      </c>
      <c r="E385" t="s">
        <v>1994</v>
      </c>
      <c r="F385" t="s">
        <v>1992</v>
      </c>
      <c r="G385" t="s">
        <v>1993</v>
      </c>
      <c r="H385">
        <v>2</v>
      </c>
      <c r="I385">
        <v>455</v>
      </c>
      <c r="J385">
        <v>910</v>
      </c>
      <c r="K385">
        <f t="shared" si="5"/>
        <v>2</v>
      </c>
    </row>
    <row r="386" spans="1:11" x14ac:dyDescent="0.3">
      <c r="A386" t="s">
        <v>394</v>
      </c>
      <c r="B386" s="1">
        <v>45423</v>
      </c>
      <c r="C386" t="s">
        <v>1394</v>
      </c>
      <c r="D386" t="s">
        <v>1880</v>
      </c>
      <c r="E386" t="s">
        <v>1991</v>
      </c>
      <c r="F386" t="s">
        <v>1999</v>
      </c>
      <c r="G386" t="s">
        <v>2000</v>
      </c>
      <c r="H386">
        <v>4</v>
      </c>
      <c r="I386">
        <v>35</v>
      </c>
      <c r="J386">
        <v>140</v>
      </c>
      <c r="K386">
        <f t="shared" si="5"/>
        <v>3</v>
      </c>
    </row>
    <row r="387" spans="1:11" x14ac:dyDescent="0.3">
      <c r="A387" t="s">
        <v>395</v>
      </c>
      <c r="B387" s="1">
        <v>45334</v>
      </c>
      <c r="C387" t="s">
        <v>1395</v>
      </c>
      <c r="D387" t="s">
        <v>1881</v>
      </c>
      <c r="E387" t="s">
        <v>1991</v>
      </c>
      <c r="F387" t="s">
        <v>1999</v>
      </c>
      <c r="G387" t="s">
        <v>2002</v>
      </c>
      <c r="H387">
        <v>3</v>
      </c>
      <c r="I387">
        <v>10</v>
      </c>
      <c r="J387">
        <v>30</v>
      </c>
      <c r="K387">
        <f t="shared" ref="K387:K450" si="6">COUNTIF(C387:C1386,C387)</f>
        <v>3</v>
      </c>
    </row>
    <row r="388" spans="1:11" x14ac:dyDescent="0.3">
      <c r="A388" t="s">
        <v>396</v>
      </c>
      <c r="B388" s="1">
        <v>45542</v>
      </c>
      <c r="C388" t="s">
        <v>1396</v>
      </c>
      <c r="D388" t="s">
        <v>1882</v>
      </c>
      <c r="E388" t="s">
        <v>1991</v>
      </c>
      <c r="F388" t="s">
        <v>1992</v>
      </c>
      <c r="G388" t="s">
        <v>1993</v>
      </c>
      <c r="H388">
        <v>4</v>
      </c>
      <c r="I388">
        <v>363</v>
      </c>
      <c r="J388">
        <v>1452</v>
      </c>
      <c r="K388">
        <f t="shared" si="6"/>
        <v>1</v>
      </c>
    </row>
    <row r="389" spans="1:11" x14ac:dyDescent="0.3">
      <c r="A389" t="s">
        <v>397</v>
      </c>
      <c r="B389" s="1">
        <v>45362</v>
      </c>
      <c r="C389" t="s">
        <v>1397</v>
      </c>
      <c r="D389" t="s">
        <v>1883</v>
      </c>
      <c r="E389" t="s">
        <v>1994</v>
      </c>
      <c r="F389" t="s">
        <v>1992</v>
      </c>
      <c r="G389" t="s">
        <v>1993</v>
      </c>
      <c r="H389">
        <v>4</v>
      </c>
      <c r="I389">
        <v>291</v>
      </c>
      <c r="J389">
        <v>1164</v>
      </c>
      <c r="K389">
        <f t="shared" si="6"/>
        <v>2</v>
      </c>
    </row>
    <row r="390" spans="1:11" x14ac:dyDescent="0.3">
      <c r="A390" t="s">
        <v>398</v>
      </c>
      <c r="B390" s="1">
        <v>45428</v>
      </c>
      <c r="C390" t="s">
        <v>1398</v>
      </c>
      <c r="D390" t="s">
        <v>1884</v>
      </c>
      <c r="E390" t="s">
        <v>1994</v>
      </c>
      <c r="F390" t="s">
        <v>1996</v>
      </c>
      <c r="G390" t="s">
        <v>2001</v>
      </c>
      <c r="H390">
        <v>1</v>
      </c>
      <c r="I390">
        <v>298</v>
      </c>
      <c r="J390">
        <v>298</v>
      </c>
      <c r="K390">
        <f t="shared" si="6"/>
        <v>1</v>
      </c>
    </row>
    <row r="391" spans="1:11" x14ac:dyDescent="0.3">
      <c r="A391" t="s">
        <v>399</v>
      </c>
      <c r="B391" s="1">
        <v>45391</v>
      </c>
      <c r="C391" t="s">
        <v>1399</v>
      </c>
      <c r="D391" t="s">
        <v>1885</v>
      </c>
      <c r="E391" t="s">
        <v>1994</v>
      </c>
      <c r="F391" t="s">
        <v>1992</v>
      </c>
      <c r="G391" t="s">
        <v>1998</v>
      </c>
      <c r="H391">
        <v>4</v>
      </c>
      <c r="I391">
        <v>308</v>
      </c>
      <c r="J391">
        <v>1232</v>
      </c>
      <c r="K391">
        <f t="shared" si="6"/>
        <v>4</v>
      </c>
    </row>
    <row r="392" spans="1:11" x14ac:dyDescent="0.3">
      <c r="A392" t="s">
        <v>400</v>
      </c>
      <c r="B392" s="1">
        <v>45532</v>
      </c>
      <c r="C392" t="s">
        <v>1400</v>
      </c>
      <c r="D392" t="s">
        <v>1886</v>
      </c>
      <c r="E392" t="s">
        <v>1994</v>
      </c>
      <c r="F392" t="s">
        <v>1996</v>
      </c>
      <c r="G392" t="s">
        <v>1997</v>
      </c>
      <c r="H392">
        <v>4</v>
      </c>
      <c r="I392">
        <v>226</v>
      </c>
      <c r="J392">
        <v>904</v>
      </c>
      <c r="K392">
        <f t="shared" si="6"/>
        <v>3</v>
      </c>
    </row>
    <row r="393" spans="1:11" x14ac:dyDescent="0.3">
      <c r="A393" t="s">
        <v>401</v>
      </c>
      <c r="B393" s="1">
        <v>45493</v>
      </c>
      <c r="C393" t="s">
        <v>1401</v>
      </c>
      <c r="D393" t="s">
        <v>1887</v>
      </c>
      <c r="E393" t="s">
        <v>1994</v>
      </c>
      <c r="F393" t="s">
        <v>1992</v>
      </c>
      <c r="G393" t="s">
        <v>1998</v>
      </c>
      <c r="H393">
        <v>4</v>
      </c>
      <c r="I393">
        <v>309</v>
      </c>
      <c r="J393">
        <v>1236</v>
      </c>
      <c r="K393">
        <f t="shared" si="6"/>
        <v>1</v>
      </c>
    </row>
    <row r="394" spans="1:11" x14ac:dyDescent="0.3">
      <c r="A394" t="s">
        <v>402</v>
      </c>
      <c r="B394" s="1">
        <v>45527</v>
      </c>
      <c r="C394" t="s">
        <v>1402</v>
      </c>
      <c r="D394" t="s">
        <v>1888</v>
      </c>
      <c r="E394" t="s">
        <v>1994</v>
      </c>
      <c r="F394" t="s">
        <v>1992</v>
      </c>
      <c r="G394" t="s">
        <v>1998</v>
      </c>
      <c r="H394">
        <v>2</v>
      </c>
      <c r="I394">
        <v>203</v>
      </c>
      <c r="J394">
        <v>406</v>
      </c>
      <c r="K394">
        <f t="shared" si="6"/>
        <v>3</v>
      </c>
    </row>
    <row r="395" spans="1:11" x14ac:dyDescent="0.3">
      <c r="A395" t="s">
        <v>403</v>
      </c>
      <c r="B395" s="1">
        <v>45331</v>
      </c>
      <c r="C395" t="s">
        <v>1403</v>
      </c>
      <c r="D395" t="s">
        <v>1889</v>
      </c>
      <c r="E395" t="s">
        <v>1994</v>
      </c>
      <c r="F395" t="s">
        <v>1992</v>
      </c>
      <c r="G395" t="s">
        <v>1993</v>
      </c>
      <c r="H395">
        <v>2</v>
      </c>
      <c r="I395">
        <v>390</v>
      </c>
      <c r="J395">
        <v>780</v>
      </c>
      <c r="K395">
        <f t="shared" si="6"/>
        <v>1</v>
      </c>
    </row>
    <row r="396" spans="1:11" x14ac:dyDescent="0.3">
      <c r="A396" t="s">
        <v>404</v>
      </c>
      <c r="B396" s="1">
        <v>45493</v>
      </c>
      <c r="C396" t="s">
        <v>1404</v>
      </c>
      <c r="D396" t="s">
        <v>1890</v>
      </c>
      <c r="E396" t="s">
        <v>1991</v>
      </c>
      <c r="F396" t="s">
        <v>1992</v>
      </c>
      <c r="G396" t="s">
        <v>1993</v>
      </c>
      <c r="H396">
        <v>4</v>
      </c>
      <c r="I396">
        <v>302</v>
      </c>
      <c r="J396">
        <v>1208</v>
      </c>
      <c r="K396">
        <f t="shared" si="6"/>
        <v>2</v>
      </c>
    </row>
    <row r="397" spans="1:11" x14ac:dyDescent="0.3">
      <c r="A397" t="s">
        <v>405</v>
      </c>
      <c r="B397" s="1">
        <v>45420</v>
      </c>
      <c r="C397" t="s">
        <v>1405</v>
      </c>
      <c r="D397" t="s">
        <v>1891</v>
      </c>
      <c r="E397" t="s">
        <v>1994</v>
      </c>
      <c r="F397" t="s">
        <v>1996</v>
      </c>
      <c r="G397" t="s">
        <v>2001</v>
      </c>
      <c r="H397">
        <v>1</v>
      </c>
      <c r="I397">
        <v>145</v>
      </c>
      <c r="J397">
        <v>145</v>
      </c>
      <c r="K397">
        <f t="shared" si="6"/>
        <v>1</v>
      </c>
    </row>
    <row r="398" spans="1:11" x14ac:dyDescent="0.3">
      <c r="A398" t="s">
        <v>406</v>
      </c>
      <c r="B398" s="1">
        <v>45317</v>
      </c>
      <c r="C398" t="s">
        <v>1406</v>
      </c>
      <c r="D398" t="s">
        <v>1892</v>
      </c>
      <c r="E398" t="s">
        <v>1991</v>
      </c>
      <c r="F398" t="s">
        <v>1999</v>
      </c>
      <c r="G398" t="s">
        <v>2002</v>
      </c>
      <c r="H398">
        <v>5</v>
      </c>
      <c r="I398">
        <v>32</v>
      </c>
      <c r="J398">
        <v>160</v>
      </c>
      <c r="K398">
        <f t="shared" si="6"/>
        <v>1</v>
      </c>
    </row>
    <row r="399" spans="1:11" x14ac:dyDescent="0.3">
      <c r="A399" t="s">
        <v>407</v>
      </c>
      <c r="B399" s="1">
        <v>45334</v>
      </c>
      <c r="C399" t="s">
        <v>1407</v>
      </c>
      <c r="D399" t="s">
        <v>1893</v>
      </c>
      <c r="E399" t="s">
        <v>1991</v>
      </c>
      <c r="F399" t="s">
        <v>1992</v>
      </c>
      <c r="G399" t="s">
        <v>1995</v>
      </c>
      <c r="H399">
        <v>4</v>
      </c>
      <c r="I399">
        <v>361</v>
      </c>
      <c r="J399">
        <v>1444</v>
      </c>
      <c r="K399">
        <f t="shared" si="6"/>
        <v>1</v>
      </c>
    </row>
    <row r="400" spans="1:11" x14ac:dyDescent="0.3">
      <c r="A400" t="s">
        <v>408</v>
      </c>
      <c r="B400" s="1">
        <v>45359</v>
      </c>
      <c r="C400" t="s">
        <v>1408</v>
      </c>
      <c r="D400" t="s">
        <v>1894</v>
      </c>
      <c r="E400" t="s">
        <v>1994</v>
      </c>
      <c r="F400" t="s">
        <v>1996</v>
      </c>
      <c r="G400" t="s">
        <v>2004</v>
      </c>
      <c r="H400">
        <v>4</v>
      </c>
      <c r="I400">
        <v>253</v>
      </c>
      <c r="J400">
        <v>1012</v>
      </c>
      <c r="K400">
        <f t="shared" si="6"/>
        <v>2</v>
      </c>
    </row>
    <row r="401" spans="1:11" x14ac:dyDescent="0.3">
      <c r="A401" t="s">
        <v>409</v>
      </c>
      <c r="B401" s="1">
        <v>45389</v>
      </c>
      <c r="C401" t="s">
        <v>1409</v>
      </c>
      <c r="D401" t="s">
        <v>1895</v>
      </c>
      <c r="E401" t="s">
        <v>1994</v>
      </c>
      <c r="F401" t="s">
        <v>1992</v>
      </c>
      <c r="G401" t="s">
        <v>1998</v>
      </c>
      <c r="H401">
        <v>3</v>
      </c>
      <c r="I401">
        <v>360</v>
      </c>
      <c r="J401">
        <v>1080</v>
      </c>
      <c r="K401">
        <f t="shared" si="6"/>
        <v>5</v>
      </c>
    </row>
    <row r="402" spans="1:11" x14ac:dyDescent="0.3">
      <c r="A402" t="s">
        <v>410</v>
      </c>
      <c r="B402" s="1">
        <v>45356</v>
      </c>
      <c r="C402" t="s">
        <v>1410</v>
      </c>
      <c r="D402" t="s">
        <v>1896</v>
      </c>
      <c r="E402" t="s">
        <v>1991</v>
      </c>
      <c r="F402" t="s">
        <v>1992</v>
      </c>
      <c r="G402" t="s">
        <v>1998</v>
      </c>
      <c r="H402">
        <v>5</v>
      </c>
      <c r="I402">
        <v>490</v>
      </c>
      <c r="J402">
        <v>2450</v>
      </c>
      <c r="K402">
        <f t="shared" si="6"/>
        <v>3</v>
      </c>
    </row>
    <row r="403" spans="1:11" x14ac:dyDescent="0.3">
      <c r="A403" t="s">
        <v>411</v>
      </c>
      <c r="B403" s="1">
        <v>45473</v>
      </c>
      <c r="C403" t="s">
        <v>1411</v>
      </c>
      <c r="D403" t="s">
        <v>1897</v>
      </c>
      <c r="E403" t="s">
        <v>1991</v>
      </c>
      <c r="F403" t="s">
        <v>1999</v>
      </c>
      <c r="G403" t="s">
        <v>2003</v>
      </c>
      <c r="H403">
        <v>3</v>
      </c>
      <c r="I403">
        <v>17</v>
      </c>
      <c r="J403">
        <v>51</v>
      </c>
      <c r="K403">
        <f t="shared" si="6"/>
        <v>2</v>
      </c>
    </row>
    <row r="404" spans="1:11" x14ac:dyDescent="0.3">
      <c r="A404" t="s">
        <v>412</v>
      </c>
      <c r="B404" s="1">
        <v>45383</v>
      </c>
      <c r="C404" t="s">
        <v>1412</v>
      </c>
      <c r="D404" t="s">
        <v>1898</v>
      </c>
      <c r="E404" t="s">
        <v>1994</v>
      </c>
      <c r="F404" t="s">
        <v>1996</v>
      </c>
      <c r="G404" t="s">
        <v>2004</v>
      </c>
      <c r="H404">
        <v>3</v>
      </c>
      <c r="I404">
        <v>178</v>
      </c>
      <c r="J404">
        <v>534</v>
      </c>
      <c r="K404">
        <f t="shared" si="6"/>
        <v>2</v>
      </c>
    </row>
    <row r="405" spans="1:11" x14ac:dyDescent="0.3">
      <c r="A405" t="s">
        <v>413</v>
      </c>
      <c r="B405" s="1">
        <v>45439</v>
      </c>
      <c r="C405" t="s">
        <v>1413</v>
      </c>
      <c r="D405" t="s">
        <v>1899</v>
      </c>
      <c r="E405" t="s">
        <v>1991</v>
      </c>
      <c r="F405" t="s">
        <v>1992</v>
      </c>
      <c r="G405" t="s">
        <v>1993</v>
      </c>
      <c r="H405">
        <v>5</v>
      </c>
      <c r="I405">
        <v>395</v>
      </c>
      <c r="J405">
        <v>1975</v>
      </c>
      <c r="K405">
        <f t="shared" si="6"/>
        <v>3</v>
      </c>
    </row>
    <row r="406" spans="1:11" x14ac:dyDescent="0.3">
      <c r="A406" t="s">
        <v>414</v>
      </c>
      <c r="B406" s="1">
        <v>45326</v>
      </c>
      <c r="C406" t="s">
        <v>1414</v>
      </c>
      <c r="D406" t="s">
        <v>1900</v>
      </c>
      <c r="E406" t="s">
        <v>1994</v>
      </c>
      <c r="F406" t="s">
        <v>1996</v>
      </c>
      <c r="G406" t="s">
        <v>2004</v>
      </c>
      <c r="H406">
        <v>3</v>
      </c>
      <c r="I406">
        <v>240</v>
      </c>
      <c r="J406">
        <v>720</v>
      </c>
      <c r="K406">
        <f t="shared" si="6"/>
        <v>2</v>
      </c>
    </row>
    <row r="407" spans="1:11" x14ac:dyDescent="0.3">
      <c r="A407" t="s">
        <v>415</v>
      </c>
      <c r="B407" s="1">
        <v>45563</v>
      </c>
      <c r="C407" t="s">
        <v>1415</v>
      </c>
      <c r="D407" t="s">
        <v>1901</v>
      </c>
      <c r="E407" t="s">
        <v>1991</v>
      </c>
      <c r="F407" t="s">
        <v>1992</v>
      </c>
      <c r="G407" t="s">
        <v>1993</v>
      </c>
      <c r="H407">
        <v>5</v>
      </c>
      <c r="I407">
        <v>225</v>
      </c>
      <c r="J407">
        <v>1125</v>
      </c>
      <c r="K407">
        <f t="shared" si="6"/>
        <v>2</v>
      </c>
    </row>
    <row r="408" spans="1:11" x14ac:dyDescent="0.3">
      <c r="A408" t="s">
        <v>416</v>
      </c>
      <c r="B408" s="1">
        <v>45296</v>
      </c>
      <c r="C408" t="s">
        <v>1416</v>
      </c>
      <c r="D408" t="s">
        <v>1902</v>
      </c>
      <c r="E408" t="s">
        <v>1994</v>
      </c>
      <c r="F408" t="s">
        <v>1996</v>
      </c>
      <c r="G408" t="s">
        <v>2004</v>
      </c>
      <c r="H408">
        <v>4</v>
      </c>
      <c r="I408">
        <v>220</v>
      </c>
      <c r="J408">
        <v>880</v>
      </c>
      <c r="K408">
        <f t="shared" si="6"/>
        <v>1</v>
      </c>
    </row>
    <row r="409" spans="1:11" x14ac:dyDescent="0.3">
      <c r="A409" t="s">
        <v>417</v>
      </c>
      <c r="B409" s="1">
        <v>45310</v>
      </c>
      <c r="C409" t="s">
        <v>1417</v>
      </c>
      <c r="D409" t="s">
        <v>1903</v>
      </c>
      <c r="E409" t="s">
        <v>1994</v>
      </c>
      <c r="F409" t="s">
        <v>1996</v>
      </c>
      <c r="G409" t="s">
        <v>2001</v>
      </c>
      <c r="H409">
        <v>3</v>
      </c>
      <c r="I409">
        <v>163</v>
      </c>
      <c r="J409">
        <v>489</v>
      </c>
      <c r="K409">
        <f t="shared" si="6"/>
        <v>1</v>
      </c>
    </row>
    <row r="410" spans="1:11" x14ac:dyDescent="0.3">
      <c r="A410" t="s">
        <v>418</v>
      </c>
      <c r="B410" s="1">
        <v>45515</v>
      </c>
      <c r="C410" t="s">
        <v>1418</v>
      </c>
      <c r="D410" t="s">
        <v>1904</v>
      </c>
      <c r="E410" t="s">
        <v>1991</v>
      </c>
      <c r="F410" t="s">
        <v>1999</v>
      </c>
      <c r="G410" t="s">
        <v>2000</v>
      </c>
      <c r="H410">
        <v>3</v>
      </c>
      <c r="I410">
        <v>25</v>
      </c>
      <c r="J410">
        <v>75</v>
      </c>
      <c r="K410">
        <f t="shared" si="6"/>
        <v>2</v>
      </c>
    </row>
    <row r="411" spans="1:11" x14ac:dyDescent="0.3">
      <c r="A411" t="s">
        <v>419</v>
      </c>
      <c r="B411" s="1">
        <v>45545</v>
      </c>
      <c r="C411" t="s">
        <v>1419</v>
      </c>
      <c r="D411" t="s">
        <v>1905</v>
      </c>
      <c r="E411" t="s">
        <v>1994</v>
      </c>
      <c r="F411" t="s">
        <v>1999</v>
      </c>
      <c r="G411" t="s">
        <v>2003</v>
      </c>
      <c r="H411">
        <v>3</v>
      </c>
      <c r="I411">
        <v>12</v>
      </c>
      <c r="J411">
        <v>36</v>
      </c>
      <c r="K411">
        <f t="shared" si="6"/>
        <v>1</v>
      </c>
    </row>
    <row r="412" spans="1:11" x14ac:dyDescent="0.3">
      <c r="A412" t="s">
        <v>420</v>
      </c>
      <c r="B412" s="1">
        <v>45383</v>
      </c>
      <c r="C412" t="s">
        <v>1420</v>
      </c>
      <c r="D412" t="s">
        <v>1906</v>
      </c>
      <c r="E412" t="s">
        <v>1994</v>
      </c>
      <c r="F412" t="s">
        <v>1992</v>
      </c>
      <c r="G412" t="s">
        <v>1995</v>
      </c>
      <c r="H412">
        <v>4</v>
      </c>
      <c r="I412">
        <v>349</v>
      </c>
      <c r="J412">
        <v>1396</v>
      </c>
      <c r="K412">
        <f t="shared" si="6"/>
        <v>1</v>
      </c>
    </row>
    <row r="413" spans="1:11" x14ac:dyDescent="0.3">
      <c r="A413" t="s">
        <v>421</v>
      </c>
      <c r="B413" s="1">
        <v>45544</v>
      </c>
      <c r="C413" t="s">
        <v>1421</v>
      </c>
      <c r="D413" t="s">
        <v>1907</v>
      </c>
      <c r="E413" t="s">
        <v>1994</v>
      </c>
      <c r="F413" t="s">
        <v>1996</v>
      </c>
      <c r="G413" t="s">
        <v>2001</v>
      </c>
      <c r="H413">
        <v>4</v>
      </c>
      <c r="I413">
        <v>117</v>
      </c>
      <c r="J413">
        <v>468</v>
      </c>
      <c r="K413">
        <f t="shared" si="6"/>
        <v>3</v>
      </c>
    </row>
    <row r="414" spans="1:11" x14ac:dyDescent="0.3">
      <c r="A414" t="s">
        <v>422</v>
      </c>
      <c r="B414" s="1">
        <v>45386</v>
      </c>
      <c r="C414" t="s">
        <v>1422</v>
      </c>
      <c r="D414" t="s">
        <v>1908</v>
      </c>
      <c r="E414" t="s">
        <v>1994</v>
      </c>
      <c r="F414" t="s">
        <v>1999</v>
      </c>
      <c r="G414" t="s">
        <v>2002</v>
      </c>
      <c r="H414">
        <v>1</v>
      </c>
      <c r="I414">
        <v>34</v>
      </c>
      <c r="J414">
        <v>34</v>
      </c>
      <c r="K414">
        <f t="shared" si="6"/>
        <v>1</v>
      </c>
    </row>
    <row r="415" spans="1:11" x14ac:dyDescent="0.3">
      <c r="A415" t="s">
        <v>423</v>
      </c>
      <c r="B415" s="1">
        <v>45499</v>
      </c>
      <c r="C415" t="s">
        <v>1423</v>
      </c>
      <c r="D415" t="s">
        <v>1909</v>
      </c>
      <c r="E415" t="s">
        <v>1994</v>
      </c>
      <c r="F415" t="s">
        <v>1996</v>
      </c>
      <c r="G415" t="s">
        <v>2004</v>
      </c>
      <c r="H415">
        <v>3</v>
      </c>
      <c r="I415">
        <v>206</v>
      </c>
      <c r="J415">
        <v>618</v>
      </c>
      <c r="K415">
        <f t="shared" si="6"/>
        <v>2</v>
      </c>
    </row>
    <row r="416" spans="1:11" x14ac:dyDescent="0.3">
      <c r="A416" t="s">
        <v>424</v>
      </c>
      <c r="B416" s="1">
        <v>45500</v>
      </c>
      <c r="C416" t="s">
        <v>1424</v>
      </c>
      <c r="D416" t="s">
        <v>1910</v>
      </c>
      <c r="E416" t="s">
        <v>1991</v>
      </c>
      <c r="F416" t="s">
        <v>1996</v>
      </c>
      <c r="G416" t="s">
        <v>1997</v>
      </c>
      <c r="H416">
        <v>2</v>
      </c>
      <c r="I416">
        <v>202</v>
      </c>
      <c r="J416">
        <v>404</v>
      </c>
      <c r="K416">
        <f t="shared" si="6"/>
        <v>2</v>
      </c>
    </row>
    <row r="417" spans="1:11" x14ac:dyDescent="0.3">
      <c r="A417" t="s">
        <v>425</v>
      </c>
      <c r="B417" s="1">
        <v>45371</v>
      </c>
      <c r="C417" t="s">
        <v>1425</v>
      </c>
      <c r="D417" t="s">
        <v>1911</v>
      </c>
      <c r="E417" t="s">
        <v>1991</v>
      </c>
      <c r="F417" t="s">
        <v>1999</v>
      </c>
      <c r="G417" t="s">
        <v>2003</v>
      </c>
      <c r="H417">
        <v>4</v>
      </c>
      <c r="I417">
        <v>20</v>
      </c>
      <c r="J417">
        <v>80</v>
      </c>
      <c r="K417">
        <f t="shared" si="6"/>
        <v>1</v>
      </c>
    </row>
    <row r="418" spans="1:11" x14ac:dyDescent="0.3">
      <c r="A418" t="s">
        <v>426</v>
      </c>
      <c r="B418" s="1">
        <v>45539</v>
      </c>
      <c r="C418" t="s">
        <v>1426</v>
      </c>
      <c r="D418" t="s">
        <v>1912</v>
      </c>
      <c r="E418" t="s">
        <v>1994</v>
      </c>
      <c r="F418" t="s">
        <v>1999</v>
      </c>
      <c r="G418" t="s">
        <v>2002</v>
      </c>
      <c r="H418">
        <v>4</v>
      </c>
      <c r="I418">
        <v>32</v>
      </c>
      <c r="J418">
        <v>128</v>
      </c>
      <c r="K418">
        <f t="shared" si="6"/>
        <v>4</v>
      </c>
    </row>
    <row r="419" spans="1:11" x14ac:dyDescent="0.3">
      <c r="A419" t="s">
        <v>427</v>
      </c>
      <c r="B419" s="1">
        <v>45376</v>
      </c>
      <c r="C419" t="s">
        <v>1427</v>
      </c>
      <c r="D419" t="s">
        <v>1913</v>
      </c>
      <c r="E419" t="s">
        <v>1991</v>
      </c>
      <c r="F419" t="s">
        <v>1996</v>
      </c>
      <c r="G419" t="s">
        <v>2004</v>
      </c>
      <c r="H419">
        <v>5</v>
      </c>
      <c r="I419">
        <v>116</v>
      </c>
      <c r="J419">
        <v>580</v>
      </c>
      <c r="K419">
        <f t="shared" si="6"/>
        <v>1</v>
      </c>
    </row>
    <row r="420" spans="1:11" x14ac:dyDescent="0.3">
      <c r="A420" t="s">
        <v>428</v>
      </c>
      <c r="B420" s="1">
        <v>45419</v>
      </c>
      <c r="C420" t="s">
        <v>1428</v>
      </c>
      <c r="D420" t="s">
        <v>1914</v>
      </c>
      <c r="E420" t="s">
        <v>1991</v>
      </c>
      <c r="F420" t="s">
        <v>1999</v>
      </c>
      <c r="G420" t="s">
        <v>2000</v>
      </c>
      <c r="H420">
        <v>5</v>
      </c>
      <c r="I420">
        <v>15</v>
      </c>
      <c r="J420">
        <v>75</v>
      </c>
      <c r="K420">
        <f t="shared" si="6"/>
        <v>2</v>
      </c>
    </row>
    <row r="421" spans="1:11" x14ac:dyDescent="0.3">
      <c r="A421" t="s">
        <v>429</v>
      </c>
      <c r="B421" s="1">
        <v>45295</v>
      </c>
      <c r="C421" t="s">
        <v>1429</v>
      </c>
      <c r="D421" t="s">
        <v>1915</v>
      </c>
      <c r="E421" t="s">
        <v>1991</v>
      </c>
      <c r="F421" t="s">
        <v>1992</v>
      </c>
      <c r="G421" t="s">
        <v>1998</v>
      </c>
      <c r="H421">
        <v>5</v>
      </c>
      <c r="I421">
        <v>499</v>
      </c>
      <c r="J421">
        <v>2495</v>
      </c>
      <c r="K421">
        <f t="shared" si="6"/>
        <v>3</v>
      </c>
    </row>
    <row r="422" spans="1:11" x14ac:dyDescent="0.3">
      <c r="A422" t="s">
        <v>430</v>
      </c>
      <c r="B422" s="1">
        <v>45370</v>
      </c>
      <c r="C422" t="s">
        <v>1430</v>
      </c>
      <c r="D422" t="s">
        <v>1916</v>
      </c>
      <c r="E422" t="s">
        <v>1994</v>
      </c>
      <c r="F422" t="s">
        <v>1999</v>
      </c>
      <c r="G422" t="s">
        <v>2002</v>
      </c>
      <c r="H422">
        <v>3</v>
      </c>
      <c r="I422">
        <v>50</v>
      </c>
      <c r="J422">
        <v>150</v>
      </c>
      <c r="K422">
        <f t="shared" si="6"/>
        <v>1</v>
      </c>
    </row>
    <row r="423" spans="1:11" x14ac:dyDescent="0.3">
      <c r="A423" t="s">
        <v>431</v>
      </c>
      <c r="B423" s="1">
        <v>45560</v>
      </c>
      <c r="C423" t="s">
        <v>1431</v>
      </c>
      <c r="D423" t="s">
        <v>1917</v>
      </c>
      <c r="E423" t="s">
        <v>1994</v>
      </c>
      <c r="F423" t="s">
        <v>1992</v>
      </c>
      <c r="G423" t="s">
        <v>1995</v>
      </c>
      <c r="H423">
        <v>1</v>
      </c>
      <c r="I423">
        <v>239</v>
      </c>
      <c r="J423">
        <v>239</v>
      </c>
      <c r="K423">
        <f t="shared" si="6"/>
        <v>1</v>
      </c>
    </row>
    <row r="424" spans="1:11" x14ac:dyDescent="0.3">
      <c r="A424" t="s">
        <v>432</v>
      </c>
      <c r="B424" s="1">
        <v>45357</v>
      </c>
      <c r="C424" t="s">
        <v>1432</v>
      </c>
      <c r="D424" t="s">
        <v>1918</v>
      </c>
      <c r="E424" t="s">
        <v>1994</v>
      </c>
      <c r="F424" t="s">
        <v>1992</v>
      </c>
      <c r="G424" t="s">
        <v>1998</v>
      </c>
      <c r="H424">
        <v>3</v>
      </c>
      <c r="I424">
        <v>218</v>
      </c>
      <c r="J424">
        <v>654</v>
      </c>
      <c r="K424">
        <f t="shared" si="6"/>
        <v>2</v>
      </c>
    </row>
    <row r="425" spans="1:11" x14ac:dyDescent="0.3">
      <c r="A425" t="s">
        <v>433</v>
      </c>
      <c r="B425" s="1">
        <v>45298</v>
      </c>
      <c r="C425" t="s">
        <v>1433</v>
      </c>
      <c r="D425" t="s">
        <v>1918</v>
      </c>
      <c r="E425" t="s">
        <v>1994</v>
      </c>
      <c r="F425" t="s">
        <v>1992</v>
      </c>
      <c r="G425" t="s">
        <v>1995</v>
      </c>
      <c r="H425">
        <v>3</v>
      </c>
      <c r="I425">
        <v>374</v>
      </c>
      <c r="J425">
        <v>1122</v>
      </c>
      <c r="K425">
        <f t="shared" si="6"/>
        <v>2</v>
      </c>
    </row>
    <row r="426" spans="1:11" x14ac:dyDescent="0.3">
      <c r="A426" t="s">
        <v>434</v>
      </c>
      <c r="B426" s="1">
        <v>45498</v>
      </c>
      <c r="C426" t="s">
        <v>1434</v>
      </c>
      <c r="D426" t="s">
        <v>1919</v>
      </c>
      <c r="E426" t="s">
        <v>1991</v>
      </c>
      <c r="F426" t="s">
        <v>1996</v>
      </c>
      <c r="G426" t="s">
        <v>2004</v>
      </c>
      <c r="H426">
        <v>3</v>
      </c>
      <c r="I426">
        <v>287</v>
      </c>
      <c r="J426">
        <v>861</v>
      </c>
      <c r="K426">
        <f t="shared" si="6"/>
        <v>4</v>
      </c>
    </row>
    <row r="427" spans="1:11" x14ac:dyDescent="0.3">
      <c r="A427" t="s">
        <v>435</v>
      </c>
      <c r="B427" s="1">
        <v>45342</v>
      </c>
      <c r="C427" t="s">
        <v>1435</v>
      </c>
      <c r="D427" t="s">
        <v>1919</v>
      </c>
      <c r="E427" t="s">
        <v>1994</v>
      </c>
      <c r="F427" t="s">
        <v>1992</v>
      </c>
      <c r="G427" t="s">
        <v>1998</v>
      </c>
      <c r="H427">
        <v>3</v>
      </c>
      <c r="I427">
        <v>484</v>
      </c>
      <c r="J427">
        <v>1452</v>
      </c>
      <c r="K427">
        <f t="shared" si="6"/>
        <v>4</v>
      </c>
    </row>
    <row r="428" spans="1:11" x14ac:dyDescent="0.3">
      <c r="A428" t="s">
        <v>436</v>
      </c>
      <c r="B428" s="1">
        <v>45373</v>
      </c>
      <c r="C428" t="s">
        <v>1436</v>
      </c>
      <c r="D428" t="s">
        <v>1920</v>
      </c>
      <c r="E428" t="s">
        <v>1991</v>
      </c>
      <c r="F428" t="s">
        <v>1992</v>
      </c>
      <c r="G428" t="s">
        <v>1995</v>
      </c>
      <c r="H428">
        <v>2</v>
      </c>
      <c r="I428">
        <v>435</v>
      </c>
      <c r="J428">
        <v>870</v>
      </c>
      <c r="K428">
        <f t="shared" si="6"/>
        <v>2</v>
      </c>
    </row>
    <row r="429" spans="1:11" x14ac:dyDescent="0.3">
      <c r="A429" t="s">
        <v>437</v>
      </c>
      <c r="B429" s="1">
        <v>45350</v>
      </c>
      <c r="C429" t="s">
        <v>1437</v>
      </c>
      <c r="D429" t="s">
        <v>1921</v>
      </c>
      <c r="E429" t="s">
        <v>1991</v>
      </c>
      <c r="F429" t="s">
        <v>1992</v>
      </c>
      <c r="G429" t="s">
        <v>1993</v>
      </c>
      <c r="H429">
        <v>4</v>
      </c>
      <c r="I429">
        <v>311</v>
      </c>
      <c r="J429">
        <v>1244</v>
      </c>
      <c r="K429">
        <f t="shared" si="6"/>
        <v>2</v>
      </c>
    </row>
    <row r="430" spans="1:11" x14ac:dyDescent="0.3">
      <c r="A430" t="s">
        <v>438</v>
      </c>
      <c r="B430" s="1">
        <v>45493</v>
      </c>
      <c r="C430" t="s">
        <v>1438</v>
      </c>
      <c r="D430" t="s">
        <v>1922</v>
      </c>
      <c r="E430" t="s">
        <v>1991</v>
      </c>
      <c r="F430" t="s">
        <v>1996</v>
      </c>
      <c r="G430" t="s">
        <v>1997</v>
      </c>
      <c r="H430">
        <v>4</v>
      </c>
      <c r="I430">
        <v>193</v>
      </c>
      <c r="J430">
        <v>772</v>
      </c>
      <c r="K430">
        <f t="shared" si="6"/>
        <v>1</v>
      </c>
    </row>
    <row r="431" spans="1:11" x14ac:dyDescent="0.3">
      <c r="A431" t="s">
        <v>439</v>
      </c>
      <c r="B431" s="1">
        <v>45503</v>
      </c>
      <c r="C431" t="s">
        <v>1439</v>
      </c>
      <c r="D431" t="s">
        <v>1923</v>
      </c>
      <c r="E431" t="s">
        <v>1994</v>
      </c>
      <c r="F431" t="s">
        <v>1996</v>
      </c>
      <c r="G431" t="s">
        <v>2001</v>
      </c>
      <c r="H431">
        <v>2</v>
      </c>
      <c r="I431">
        <v>296</v>
      </c>
      <c r="J431">
        <v>592</v>
      </c>
      <c r="K431">
        <f t="shared" si="6"/>
        <v>2</v>
      </c>
    </row>
    <row r="432" spans="1:11" x14ac:dyDescent="0.3">
      <c r="A432" t="s">
        <v>440</v>
      </c>
      <c r="B432" s="1">
        <v>45553</v>
      </c>
      <c r="C432" t="s">
        <v>1440</v>
      </c>
      <c r="D432" t="s">
        <v>1924</v>
      </c>
      <c r="E432" t="s">
        <v>1994</v>
      </c>
      <c r="F432" t="s">
        <v>1996</v>
      </c>
      <c r="G432" t="s">
        <v>2001</v>
      </c>
      <c r="H432">
        <v>1</v>
      </c>
      <c r="I432">
        <v>143</v>
      </c>
      <c r="J432">
        <v>143</v>
      </c>
      <c r="K432">
        <f t="shared" si="6"/>
        <v>2</v>
      </c>
    </row>
    <row r="433" spans="1:11" x14ac:dyDescent="0.3">
      <c r="A433" t="s">
        <v>441</v>
      </c>
      <c r="B433" s="1">
        <v>45560</v>
      </c>
      <c r="C433" t="s">
        <v>1441</v>
      </c>
      <c r="D433" t="s">
        <v>1925</v>
      </c>
      <c r="E433" t="s">
        <v>1994</v>
      </c>
      <c r="F433" t="s">
        <v>1996</v>
      </c>
      <c r="G433" t="s">
        <v>2001</v>
      </c>
      <c r="H433">
        <v>4</v>
      </c>
      <c r="I433">
        <v>219</v>
      </c>
      <c r="J433">
        <v>876</v>
      </c>
      <c r="K433">
        <f t="shared" si="6"/>
        <v>3</v>
      </c>
    </row>
    <row r="434" spans="1:11" x14ac:dyDescent="0.3">
      <c r="A434" t="s">
        <v>442</v>
      </c>
      <c r="B434" s="1">
        <v>45303</v>
      </c>
      <c r="C434" t="s">
        <v>1442</v>
      </c>
      <c r="D434" t="s">
        <v>1926</v>
      </c>
      <c r="E434" t="s">
        <v>1994</v>
      </c>
      <c r="F434" t="s">
        <v>1992</v>
      </c>
      <c r="G434" t="s">
        <v>1998</v>
      </c>
      <c r="H434">
        <v>1</v>
      </c>
      <c r="I434">
        <v>275</v>
      </c>
      <c r="J434">
        <v>275</v>
      </c>
      <c r="K434">
        <f t="shared" si="6"/>
        <v>3</v>
      </c>
    </row>
    <row r="435" spans="1:11" x14ac:dyDescent="0.3">
      <c r="A435" t="s">
        <v>443</v>
      </c>
      <c r="B435" s="1">
        <v>45478</v>
      </c>
      <c r="C435" t="s">
        <v>1443</v>
      </c>
      <c r="D435" t="s">
        <v>1927</v>
      </c>
      <c r="E435" t="s">
        <v>1991</v>
      </c>
      <c r="F435" t="s">
        <v>1999</v>
      </c>
      <c r="G435" t="s">
        <v>2002</v>
      </c>
      <c r="H435">
        <v>4</v>
      </c>
      <c r="I435">
        <v>38</v>
      </c>
      <c r="J435">
        <v>152</v>
      </c>
      <c r="K435">
        <f t="shared" si="6"/>
        <v>3</v>
      </c>
    </row>
    <row r="436" spans="1:11" x14ac:dyDescent="0.3">
      <c r="A436" t="s">
        <v>444</v>
      </c>
      <c r="B436" s="1">
        <v>45365</v>
      </c>
      <c r="C436" t="s">
        <v>1444</v>
      </c>
      <c r="D436" t="s">
        <v>1928</v>
      </c>
      <c r="E436" t="s">
        <v>1994</v>
      </c>
      <c r="F436" t="s">
        <v>1992</v>
      </c>
      <c r="G436" t="s">
        <v>1995</v>
      </c>
      <c r="H436">
        <v>1</v>
      </c>
      <c r="I436">
        <v>278</v>
      </c>
      <c r="J436">
        <v>278</v>
      </c>
      <c r="K436">
        <f t="shared" si="6"/>
        <v>1</v>
      </c>
    </row>
    <row r="437" spans="1:11" x14ac:dyDescent="0.3">
      <c r="A437" t="s">
        <v>445</v>
      </c>
      <c r="B437" s="1">
        <v>45489</v>
      </c>
      <c r="C437" t="s">
        <v>1445</v>
      </c>
      <c r="D437" t="s">
        <v>1929</v>
      </c>
      <c r="E437" t="s">
        <v>1994</v>
      </c>
      <c r="F437" t="s">
        <v>1992</v>
      </c>
      <c r="G437" t="s">
        <v>1995</v>
      </c>
      <c r="H437">
        <v>3</v>
      </c>
      <c r="I437">
        <v>321</v>
      </c>
      <c r="J437">
        <v>963</v>
      </c>
      <c r="K437">
        <f t="shared" si="6"/>
        <v>2</v>
      </c>
    </row>
    <row r="438" spans="1:11" x14ac:dyDescent="0.3">
      <c r="A438" t="s">
        <v>446</v>
      </c>
      <c r="B438" s="1">
        <v>45361</v>
      </c>
      <c r="C438" t="s">
        <v>1446</v>
      </c>
      <c r="D438" t="s">
        <v>1930</v>
      </c>
      <c r="E438" t="s">
        <v>1991</v>
      </c>
      <c r="F438" t="s">
        <v>1992</v>
      </c>
      <c r="G438" t="s">
        <v>1998</v>
      </c>
      <c r="H438">
        <v>4</v>
      </c>
      <c r="I438">
        <v>396</v>
      </c>
      <c r="J438">
        <v>1584</v>
      </c>
      <c r="K438">
        <f t="shared" si="6"/>
        <v>3</v>
      </c>
    </row>
    <row r="439" spans="1:11" x14ac:dyDescent="0.3">
      <c r="A439" t="s">
        <v>447</v>
      </c>
      <c r="B439" s="1">
        <v>45524</v>
      </c>
      <c r="C439" t="s">
        <v>1447</v>
      </c>
      <c r="D439" t="s">
        <v>1931</v>
      </c>
      <c r="E439" t="s">
        <v>1994</v>
      </c>
      <c r="F439" t="s">
        <v>1992</v>
      </c>
      <c r="G439" t="s">
        <v>1998</v>
      </c>
      <c r="H439">
        <v>3</v>
      </c>
      <c r="I439">
        <v>283</v>
      </c>
      <c r="J439">
        <v>849</v>
      </c>
      <c r="K439">
        <f t="shared" si="6"/>
        <v>2</v>
      </c>
    </row>
    <row r="440" spans="1:11" x14ac:dyDescent="0.3">
      <c r="A440" t="s">
        <v>448</v>
      </c>
      <c r="B440" s="1">
        <v>45512</v>
      </c>
      <c r="C440" t="s">
        <v>1448</v>
      </c>
      <c r="D440" t="s">
        <v>1932</v>
      </c>
      <c r="E440" t="s">
        <v>1991</v>
      </c>
      <c r="F440" t="s">
        <v>1996</v>
      </c>
      <c r="G440" t="s">
        <v>2001</v>
      </c>
      <c r="H440">
        <v>3</v>
      </c>
      <c r="I440">
        <v>135</v>
      </c>
      <c r="J440">
        <v>405</v>
      </c>
      <c r="K440">
        <f t="shared" si="6"/>
        <v>3</v>
      </c>
    </row>
    <row r="441" spans="1:11" x14ac:dyDescent="0.3">
      <c r="A441" t="s">
        <v>449</v>
      </c>
      <c r="B441" s="1">
        <v>45537</v>
      </c>
      <c r="C441" t="s">
        <v>1449</v>
      </c>
      <c r="D441" t="s">
        <v>1933</v>
      </c>
      <c r="E441" t="s">
        <v>1994</v>
      </c>
      <c r="F441" t="s">
        <v>1992</v>
      </c>
      <c r="G441" t="s">
        <v>1993</v>
      </c>
      <c r="H441">
        <v>3</v>
      </c>
      <c r="I441">
        <v>467</v>
      </c>
      <c r="J441">
        <v>1401</v>
      </c>
      <c r="K441">
        <f t="shared" si="6"/>
        <v>2</v>
      </c>
    </row>
    <row r="442" spans="1:11" x14ac:dyDescent="0.3">
      <c r="A442" t="s">
        <v>450</v>
      </c>
      <c r="B442" s="1">
        <v>45338</v>
      </c>
      <c r="C442" t="s">
        <v>1450</v>
      </c>
      <c r="D442" t="s">
        <v>1934</v>
      </c>
      <c r="E442" t="s">
        <v>1994</v>
      </c>
      <c r="F442" t="s">
        <v>1992</v>
      </c>
      <c r="G442" t="s">
        <v>1998</v>
      </c>
      <c r="H442">
        <v>2</v>
      </c>
      <c r="I442">
        <v>370</v>
      </c>
      <c r="J442">
        <v>740</v>
      </c>
      <c r="K442">
        <f t="shared" si="6"/>
        <v>1</v>
      </c>
    </row>
    <row r="443" spans="1:11" x14ac:dyDescent="0.3">
      <c r="A443" t="s">
        <v>451</v>
      </c>
      <c r="B443" s="1">
        <v>45494</v>
      </c>
      <c r="C443" t="s">
        <v>1451</v>
      </c>
      <c r="D443" t="s">
        <v>1935</v>
      </c>
      <c r="E443" t="s">
        <v>1991</v>
      </c>
      <c r="F443" t="s">
        <v>1992</v>
      </c>
      <c r="G443" t="s">
        <v>1998</v>
      </c>
      <c r="H443">
        <v>5</v>
      </c>
      <c r="I443">
        <v>219</v>
      </c>
      <c r="J443">
        <v>1095</v>
      </c>
      <c r="K443">
        <f t="shared" si="6"/>
        <v>2</v>
      </c>
    </row>
    <row r="444" spans="1:11" x14ac:dyDescent="0.3">
      <c r="A444" t="s">
        <v>452</v>
      </c>
      <c r="B444" s="1">
        <v>45323</v>
      </c>
      <c r="C444" t="s">
        <v>1452</v>
      </c>
      <c r="D444" t="s">
        <v>1936</v>
      </c>
      <c r="E444" t="s">
        <v>1994</v>
      </c>
      <c r="F444" t="s">
        <v>1999</v>
      </c>
      <c r="G444" t="s">
        <v>2003</v>
      </c>
      <c r="H444">
        <v>3</v>
      </c>
      <c r="I444">
        <v>29</v>
      </c>
      <c r="J444">
        <v>87</v>
      </c>
      <c r="K444">
        <f t="shared" si="6"/>
        <v>4</v>
      </c>
    </row>
    <row r="445" spans="1:11" x14ac:dyDescent="0.3">
      <c r="A445" t="s">
        <v>453</v>
      </c>
      <c r="B445" s="1">
        <v>45346</v>
      </c>
      <c r="C445" t="s">
        <v>1453</v>
      </c>
      <c r="D445" t="s">
        <v>1937</v>
      </c>
      <c r="E445" t="s">
        <v>1991</v>
      </c>
      <c r="F445" t="s">
        <v>1999</v>
      </c>
      <c r="G445" t="s">
        <v>2002</v>
      </c>
      <c r="H445">
        <v>2</v>
      </c>
      <c r="I445">
        <v>48</v>
      </c>
      <c r="J445">
        <v>96</v>
      </c>
      <c r="K445">
        <f t="shared" si="6"/>
        <v>1</v>
      </c>
    </row>
    <row r="446" spans="1:11" x14ac:dyDescent="0.3">
      <c r="A446" t="s">
        <v>454</v>
      </c>
      <c r="B446" s="1">
        <v>45351</v>
      </c>
      <c r="C446" t="s">
        <v>1454</v>
      </c>
      <c r="D446" t="s">
        <v>1938</v>
      </c>
      <c r="E446" t="s">
        <v>1991</v>
      </c>
      <c r="F446" t="s">
        <v>1996</v>
      </c>
      <c r="G446" t="s">
        <v>1997</v>
      </c>
      <c r="H446">
        <v>3</v>
      </c>
      <c r="I446">
        <v>272</v>
      </c>
      <c r="J446">
        <v>816</v>
      </c>
      <c r="K446">
        <f t="shared" si="6"/>
        <v>2</v>
      </c>
    </row>
    <row r="447" spans="1:11" x14ac:dyDescent="0.3">
      <c r="A447" t="s">
        <v>455</v>
      </c>
      <c r="B447" s="1">
        <v>45555</v>
      </c>
      <c r="C447" t="s">
        <v>1455</v>
      </c>
      <c r="D447" t="s">
        <v>1939</v>
      </c>
      <c r="E447" t="s">
        <v>1991</v>
      </c>
      <c r="F447" t="s">
        <v>1996</v>
      </c>
      <c r="G447" t="s">
        <v>2004</v>
      </c>
      <c r="H447">
        <v>3</v>
      </c>
      <c r="I447">
        <v>233</v>
      </c>
      <c r="J447">
        <v>699</v>
      </c>
      <c r="K447">
        <f t="shared" si="6"/>
        <v>1</v>
      </c>
    </row>
    <row r="448" spans="1:11" x14ac:dyDescent="0.3">
      <c r="A448" t="s">
        <v>456</v>
      </c>
      <c r="B448" s="1">
        <v>45327</v>
      </c>
      <c r="C448" t="s">
        <v>1456</v>
      </c>
      <c r="D448" t="s">
        <v>1940</v>
      </c>
      <c r="E448" t="s">
        <v>1994</v>
      </c>
      <c r="F448" t="s">
        <v>1992</v>
      </c>
      <c r="G448" t="s">
        <v>1995</v>
      </c>
      <c r="H448">
        <v>2</v>
      </c>
      <c r="I448">
        <v>408</v>
      </c>
      <c r="J448">
        <v>816</v>
      </c>
      <c r="K448">
        <f t="shared" si="6"/>
        <v>3</v>
      </c>
    </row>
    <row r="449" spans="1:11" x14ac:dyDescent="0.3">
      <c r="A449" t="s">
        <v>457</v>
      </c>
      <c r="B449" s="1">
        <v>45350</v>
      </c>
      <c r="C449" t="s">
        <v>1457</v>
      </c>
      <c r="D449" t="s">
        <v>1941</v>
      </c>
      <c r="E449" t="s">
        <v>1991</v>
      </c>
      <c r="F449" t="s">
        <v>1992</v>
      </c>
      <c r="G449" t="s">
        <v>1998</v>
      </c>
      <c r="H449">
        <v>2</v>
      </c>
      <c r="I449">
        <v>478</v>
      </c>
      <c r="J449">
        <v>956</v>
      </c>
      <c r="K449">
        <f t="shared" si="6"/>
        <v>3</v>
      </c>
    </row>
    <row r="450" spans="1:11" x14ac:dyDescent="0.3">
      <c r="A450" t="s">
        <v>458</v>
      </c>
      <c r="B450" s="1">
        <v>45521</v>
      </c>
      <c r="C450" t="s">
        <v>1458</v>
      </c>
      <c r="D450" t="s">
        <v>1942</v>
      </c>
      <c r="E450" t="s">
        <v>1991</v>
      </c>
      <c r="F450" t="s">
        <v>1992</v>
      </c>
      <c r="G450" t="s">
        <v>1993</v>
      </c>
      <c r="H450">
        <v>4</v>
      </c>
      <c r="I450">
        <v>224</v>
      </c>
      <c r="J450">
        <v>896</v>
      </c>
      <c r="K450">
        <f t="shared" si="6"/>
        <v>3</v>
      </c>
    </row>
    <row r="451" spans="1:11" x14ac:dyDescent="0.3">
      <c r="A451" t="s">
        <v>459</v>
      </c>
      <c r="B451" s="1">
        <v>45337</v>
      </c>
      <c r="C451" t="s">
        <v>1459</v>
      </c>
      <c r="D451" t="s">
        <v>1943</v>
      </c>
      <c r="E451" t="s">
        <v>1991</v>
      </c>
      <c r="F451" t="s">
        <v>1992</v>
      </c>
      <c r="G451" t="s">
        <v>1993</v>
      </c>
      <c r="H451">
        <v>4</v>
      </c>
      <c r="I451">
        <v>284</v>
      </c>
      <c r="J451">
        <v>1136</v>
      </c>
      <c r="K451">
        <f t="shared" ref="K451:K514" si="7">COUNTIF(C451:C1450,C451)</f>
        <v>1</v>
      </c>
    </row>
    <row r="452" spans="1:11" x14ac:dyDescent="0.3">
      <c r="A452" t="s">
        <v>460</v>
      </c>
      <c r="B452" s="1">
        <v>45386</v>
      </c>
      <c r="C452" t="s">
        <v>1460</v>
      </c>
      <c r="D452" t="s">
        <v>1944</v>
      </c>
      <c r="E452" t="s">
        <v>1994</v>
      </c>
      <c r="F452" t="s">
        <v>1999</v>
      </c>
      <c r="G452" t="s">
        <v>2003</v>
      </c>
      <c r="H452">
        <v>4</v>
      </c>
      <c r="I452">
        <v>40</v>
      </c>
      <c r="J452">
        <v>160</v>
      </c>
      <c r="K452">
        <f t="shared" si="7"/>
        <v>1</v>
      </c>
    </row>
    <row r="453" spans="1:11" x14ac:dyDescent="0.3">
      <c r="A453" t="s">
        <v>461</v>
      </c>
      <c r="B453" s="1">
        <v>45398</v>
      </c>
      <c r="C453" t="s">
        <v>1461</v>
      </c>
      <c r="D453" t="s">
        <v>1945</v>
      </c>
      <c r="E453" t="s">
        <v>1991</v>
      </c>
      <c r="F453" t="s">
        <v>1992</v>
      </c>
      <c r="G453" t="s">
        <v>1995</v>
      </c>
      <c r="H453">
        <v>4</v>
      </c>
      <c r="I453">
        <v>221</v>
      </c>
      <c r="J453">
        <v>884</v>
      </c>
      <c r="K453">
        <f t="shared" si="7"/>
        <v>2</v>
      </c>
    </row>
    <row r="454" spans="1:11" x14ac:dyDescent="0.3">
      <c r="A454" t="s">
        <v>462</v>
      </c>
      <c r="B454" s="1">
        <v>45326</v>
      </c>
      <c r="C454" t="s">
        <v>1462</v>
      </c>
      <c r="D454" t="s">
        <v>1946</v>
      </c>
      <c r="E454" t="s">
        <v>1994</v>
      </c>
      <c r="F454" t="s">
        <v>1999</v>
      </c>
      <c r="G454" t="s">
        <v>2002</v>
      </c>
      <c r="H454">
        <v>5</v>
      </c>
      <c r="I454">
        <v>12</v>
      </c>
      <c r="J454">
        <v>60</v>
      </c>
      <c r="K454">
        <f t="shared" si="7"/>
        <v>2</v>
      </c>
    </row>
    <row r="455" spans="1:11" x14ac:dyDescent="0.3">
      <c r="A455" t="s">
        <v>463</v>
      </c>
      <c r="B455" s="1">
        <v>45516</v>
      </c>
      <c r="C455" t="s">
        <v>1463</v>
      </c>
      <c r="D455" t="s">
        <v>1947</v>
      </c>
      <c r="E455" t="s">
        <v>1991</v>
      </c>
      <c r="F455" t="s">
        <v>1999</v>
      </c>
      <c r="G455" t="s">
        <v>2000</v>
      </c>
      <c r="H455">
        <v>1</v>
      </c>
      <c r="I455">
        <v>35</v>
      </c>
      <c r="J455">
        <v>35</v>
      </c>
      <c r="K455">
        <f t="shared" si="7"/>
        <v>2</v>
      </c>
    </row>
    <row r="456" spans="1:11" x14ac:dyDescent="0.3">
      <c r="A456" t="s">
        <v>464</v>
      </c>
      <c r="B456" s="1">
        <v>45296</v>
      </c>
      <c r="C456" t="s">
        <v>1464</v>
      </c>
      <c r="D456" t="s">
        <v>1948</v>
      </c>
      <c r="E456" t="s">
        <v>1991</v>
      </c>
      <c r="F456" t="s">
        <v>1992</v>
      </c>
      <c r="G456" t="s">
        <v>1995</v>
      </c>
      <c r="H456">
        <v>4</v>
      </c>
      <c r="I456">
        <v>344</v>
      </c>
      <c r="J456">
        <v>1376</v>
      </c>
      <c r="K456">
        <f t="shared" si="7"/>
        <v>3</v>
      </c>
    </row>
    <row r="457" spans="1:11" x14ac:dyDescent="0.3">
      <c r="A457" t="s">
        <v>465</v>
      </c>
      <c r="B457" s="1">
        <v>45305</v>
      </c>
      <c r="C457" t="s">
        <v>1465</v>
      </c>
      <c r="D457" t="s">
        <v>1949</v>
      </c>
      <c r="E457" t="s">
        <v>1994</v>
      </c>
      <c r="F457" t="s">
        <v>1992</v>
      </c>
      <c r="G457" t="s">
        <v>1998</v>
      </c>
      <c r="H457">
        <v>5</v>
      </c>
      <c r="I457">
        <v>491</v>
      </c>
      <c r="J457">
        <v>2455</v>
      </c>
      <c r="K457">
        <f t="shared" si="7"/>
        <v>3</v>
      </c>
    </row>
    <row r="458" spans="1:11" x14ac:dyDescent="0.3">
      <c r="A458" t="s">
        <v>466</v>
      </c>
      <c r="B458" s="1">
        <v>45379</v>
      </c>
      <c r="C458" t="s">
        <v>1466</v>
      </c>
      <c r="D458" t="s">
        <v>1950</v>
      </c>
      <c r="E458" t="s">
        <v>1991</v>
      </c>
      <c r="F458" t="s">
        <v>1996</v>
      </c>
      <c r="G458" t="s">
        <v>2001</v>
      </c>
      <c r="H458">
        <v>5</v>
      </c>
      <c r="I458">
        <v>210</v>
      </c>
      <c r="J458">
        <v>1050</v>
      </c>
      <c r="K458">
        <f t="shared" si="7"/>
        <v>1</v>
      </c>
    </row>
    <row r="459" spans="1:11" x14ac:dyDescent="0.3">
      <c r="A459" t="s">
        <v>467</v>
      </c>
      <c r="B459" s="1">
        <v>45394</v>
      </c>
      <c r="C459" t="s">
        <v>1467</v>
      </c>
      <c r="D459" t="s">
        <v>1950</v>
      </c>
      <c r="E459" t="s">
        <v>1991</v>
      </c>
      <c r="F459" t="s">
        <v>1996</v>
      </c>
      <c r="G459" t="s">
        <v>2001</v>
      </c>
      <c r="H459">
        <v>3</v>
      </c>
      <c r="I459">
        <v>194</v>
      </c>
      <c r="J459">
        <v>582</v>
      </c>
      <c r="K459">
        <f t="shared" si="7"/>
        <v>1</v>
      </c>
    </row>
    <row r="460" spans="1:11" x14ac:dyDescent="0.3">
      <c r="A460" t="s">
        <v>468</v>
      </c>
      <c r="B460" s="1">
        <v>45553</v>
      </c>
      <c r="C460" t="s">
        <v>1468</v>
      </c>
      <c r="D460" t="s">
        <v>1951</v>
      </c>
      <c r="E460" t="s">
        <v>1991</v>
      </c>
      <c r="F460" t="s">
        <v>1992</v>
      </c>
      <c r="G460" t="s">
        <v>1995</v>
      </c>
      <c r="H460">
        <v>1</v>
      </c>
      <c r="I460">
        <v>374</v>
      </c>
      <c r="J460">
        <v>374</v>
      </c>
      <c r="K460">
        <f t="shared" si="7"/>
        <v>1</v>
      </c>
    </row>
    <row r="461" spans="1:11" x14ac:dyDescent="0.3">
      <c r="A461" t="s">
        <v>469</v>
      </c>
      <c r="B461" s="1">
        <v>45361</v>
      </c>
      <c r="C461" t="s">
        <v>1469</v>
      </c>
      <c r="D461" t="s">
        <v>1951</v>
      </c>
      <c r="E461" t="s">
        <v>1991</v>
      </c>
      <c r="F461" t="s">
        <v>1992</v>
      </c>
      <c r="G461" t="s">
        <v>1998</v>
      </c>
      <c r="H461">
        <v>4</v>
      </c>
      <c r="I461">
        <v>313</v>
      </c>
      <c r="J461">
        <v>1252</v>
      </c>
      <c r="K461">
        <f t="shared" si="7"/>
        <v>2</v>
      </c>
    </row>
    <row r="462" spans="1:11" x14ac:dyDescent="0.3">
      <c r="A462" t="s">
        <v>470</v>
      </c>
      <c r="B462" s="1">
        <v>45440</v>
      </c>
      <c r="C462" t="s">
        <v>1470</v>
      </c>
      <c r="D462" t="s">
        <v>1952</v>
      </c>
      <c r="E462" t="s">
        <v>1991</v>
      </c>
      <c r="F462" t="s">
        <v>1996</v>
      </c>
      <c r="G462" t="s">
        <v>1997</v>
      </c>
      <c r="H462">
        <v>3</v>
      </c>
      <c r="I462">
        <v>131</v>
      </c>
      <c r="J462">
        <v>393</v>
      </c>
      <c r="K462">
        <f t="shared" si="7"/>
        <v>2</v>
      </c>
    </row>
    <row r="463" spans="1:11" x14ac:dyDescent="0.3">
      <c r="A463" t="s">
        <v>471</v>
      </c>
      <c r="B463" s="1">
        <v>45525</v>
      </c>
      <c r="C463" t="s">
        <v>1471</v>
      </c>
      <c r="D463" t="s">
        <v>1952</v>
      </c>
      <c r="E463" t="s">
        <v>1991</v>
      </c>
      <c r="F463" t="s">
        <v>1996</v>
      </c>
      <c r="G463" t="s">
        <v>2001</v>
      </c>
      <c r="H463">
        <v>3</v>
      </c>
      <c r="I463">
        <v>204</v>
      </c>
      <c r="J463">
        <v>612</v>
      </c>
      <c r="K463">
        <f t="shared" si="7"/>
        <v>5</v>
      </c>
    </row>
    <row r="464" spans="1:11" x14ac:dyDescent="0.3">
      <c r="A464" t="s">
        <v>472</v>
      </c>
      <c r="B464" s="1">
        <v>45509</v>
      </c>
      <c r="C464" t="s">
        <v>1472</v>
      </c>
      <c r="D464" t="s">
        <v>1953</v>
      </c>
      <c r="E464" t="s">
        <v>1991</v>
      </c>
      <c r="F464" t="s">
        <v>1999</v>
      </c>
      <c r="G464" t="s">
        <v>2003</v>
      </c>
      <c r="H464">
        <v>4</v>
      </c>
      <c r="I464">
        <v>48</v>
      </c>
      <c r="J464">
        <v>192</v>
      </c>
      <c r="K464">
        <f t="shared" si="7"/>
        <v>2</v>
      </c>
    </row>
    <row r="465" spans="1:11" x14ac:dyDescent="0.3">
      <c r="A465" t="s">
        <v>473</v>
      </c>
      <c r="B465" s="1">
        <v>45416</v>
      </c>
      <c r="C465" t="s">
        <v>1473</v>
      </c>
      <c r="D465" t="s">
        <v>1954</v>
      </c>
      <c r="E465" t="s">
        <v>1991</v>
      </c>
      <c r="F465" t="s">
        <v>1996</v>
      </c>
      <c r="G465" t="s">
        <v>2001</v>
      </c>
      <c r="H465">
        <v>5</v>
      </c>
      <c r="I465">
        <v>244</v>
      </c>
      <c r="J465">
        <v>1220</v>
      </c>
      <c r="K465">
        <f t="shared" si="7"/>
        <v>1</v>
      </c>
    </row>
    <row r="466" spans="1:11" x14ac:dyDescent="0.3">
      <c r="A466" t="s">
        <v>474</v>
      </c>
      <c r="B466" s="1">
        <v>45375</v>
      </c>
      <c r="C466" t="s">
        <v>1474</v>
      </c>
      <c r="D466" t="s">
        <v>1955</v>
      </c>
      <c r="E466" t="s">
        <v>1994</v>
      </c>
      <c r="F466" t="s">
        <v>1996</v>
      </c>
      <c r="G466" t="s">
        <v>2004</v>
      </c>
      <c r="H466">
        <v>5</v>
      </c>
      <c r="I466">
        <v>129</v>
      </c>
      <c r="J466">
        <v>645</v>
      </c>
      <c r="K466">
        <f t="shared" si="7"/>
        <v>2</v>
      </c>
    </row>
    <row r="467" spans="1:11" x14ac:dyDescent="0.3">
      <c r="A467" t="s">
        <v>475</v>
      </c>
      <c r="B467" s="1">
        <v>45306</v>
      </c>
      <c r="C467" t="s">
        <v>1475</v>
      </c>
      <c r="D467" t="s">
        <v>1956</v>
      </c>
      <c r="E467" t="s">
        <v>1991</v>
      </c>
      <c r="F467" t="s">
        <v>1996</v>
      </c>
      <c r="G467" t="s">
        <v>2004</v>
      </c>
      <c r="H467">
        <v>5</v>
      </c>
      <c r="I467">
        <v>148</v>
      </c>
      <c r="J467">
        <v>740</v>
      </c>
      <c r="K467">
        <f t="shared" si="7"/>
        <v>4</v>
      </c>
    </row>
    <row r="468" spans="1:11" x14ac:dyDescent="0.3">
      <c r="A468" t="s">
        <v>476</v>
      </c>
      <c r="B468" s="1">
        <v>45390</v>
      </c>
      <c r="C468" t="s">
        <v>1476</v>
      </c>
      <c r="D468" t="s">
        <v>1957</v>
      </c>
      <c r="E468" t="s">
        <v>1994</v>
      </c>
      <c r="F468" t="s">
        <v>1999</v>
      </c>
      <c r="G468" t="s">
        <v>2002</v>
      </c>
      <c r="H468">
        <v>5</v>
      </c>
      <c r="I468">
        <v>28</v>
      </c>
      <c r="J468">
        <v>140</v>
      </c>
      <c r="K468">
        <f t="shared" si="7"/>
        <v>3</v>
      </c>
    </row>
    <row r="469" spans="1:11" x14ac:dyDescent="0.3">
      <c r="A469" t="s">
        <v>477</v>
      </c>
      <c r="B469" s="1">
        <v>45482</v>
      </c>
      <c r="C469" t="s">
        <v>1477</v>
      </c>
      <c r="D469" t="s">
        <v>1958</v>
      </c>
      <c r="E469" t="s">
        <v>1994</v>
      </c>
      <c r="F469" t="s">
        <v>1996</v>
      </c>
      <c r="G469" t="s">
        <v>2001</v>
      </c>
      <c r="H469">
        <v>5</v>
      </c>
      <c r="I469">
        <v>293</v>
      </c>
      <c r="J469">
        <v>1465</v>
      </c>
      <c r="K469">
        <f t="shared" si="7"/>
        <v>2</v>
      </c>
    </row>
    <row r="470" spans="1:11" x14ac:dyDescent="0.3">
      <c r="A470" t="s">
        <v>478</v>
      </c>
      <c r="B470" s="1">
        <v>45510</v>
      </c>
      <c r="C470" t="s">
        <v>1478</v>
      </c>
      <c r="D470" t="s">
        <v>1959</v>
      </c>
      <c r="E470" t="s">
        <v>1994</v>
      </c>
      <c r="F470" t="s">
        <v>1996</v>
      </c>
      <c r="G470" t="s">
        <v>1997</v>
      </c>
      <c r="H470">
        <v>2</v>
      </c>
      <c r="I470">
        <v>118</v>
      </c>
      <c r="J470">
        <v>236</v>
      </c>
      <c r="K470">
        <f t="shared" si="7"/>
        <v>2</v>
      </c>
    </row>
    <row r="471" spans="1:11" x14ac:dyDescent="0.3">
      <c r="A471" t="s">
        <v>479</v>
      </c>
      <c r="B471" s="1">
        <v>45447</v>
      </c>
      <c r="C471" t="s">
        <v>1479</v>
      </c>
      <c r="D471" t="s">
        <v>1960</v>
      </c>
      <c r="E471" t="s">
        <v>1991</v>
      </c>
      <c r="F471" t="s">
        <v>1999</v>
      </c>
      <c r="G471" t="s">
        <v>2003</v>
      </c>
      <c r="H471">
        <v>3</v>
      </c>
      <c r="I471">
        <v>10</v>
      </c>
      <c r="J471">
        <v>30</v>
      </c>
      <c r="K471">
        <f t="shared" si="7"/>
        <v>4</v>
      </c>
    </row>
    <row r="472" spans="1:11" x14ac:dyDescent="0.3">
      <c r="A472" t="s">
        <v>480</v>
      </c>
      <c r="B472" s="1">
        <v>45537</v>
      </c>
      <c r="C472" t="s">
        <v>1480</v>
      </c>
      <c r="D472" t="s">
        <v>1961</v>
      </c>
      <c r="E472" t="s">
        <v>1994</v>
      </c>
      <c r="F472" t="s">
        <v>1996</v>
      </c>
      <c r="G472" t="s">
        <v>1997</v>
      </c>
      <c r="H472">
        <v>5</v>
      </c>
      <c r="I472">
        <v>277</v>
      </c>
      <c r="J472">
        <v>1385</v>
      </c>
      <c r="K472">
        <f t="shared" si="7"/>
        <v>1</v>
      </c>
    </row>
    <row r="473" spans="1:11" x14ac:dyDescent="0.3">
      <c r="A473" t="s">
        <v>481</v>
      </c>
      <c r="B473" s="1">
        <v>45416</v>
      </c>
      <c r="C473" t="s">
        <v>1481</v>
      </c>
      <c r="D473" t="s">
        <v>1962</v>
      </c>
      <c r="E473" t="s">
        <v>1994</v>
      </c>
      <c r="F473" t="s">
        <v>1992</v>
      </c>
      <c r="G473" t="s">
        <v>1995</v>
      </c>
      <c r="H473">
        <v>5</v>
      </c>
      <c r="I473">
        <v>234</v>
      </c>
      <c r="J473">
        <v>1170</v>
      </c>
      <c r="K473">
        <f t="shared" si="7"/>
        <v>1</v>
      </c>
    </row>
    <row r="474" spans="1:11" x14ac:dyDescent="0.3">
      <c r="A474" t="s">
        <v>482</v>
      </c>
      <c r="B474" s="1">
        <v>45338</v>
      </c>
      <c r="C474" t="s">
        <v>1482</v>
      </c>
      <c r="D474" t="s">
        <v>1963</v>
      </c>
      <c r="E474" t="s">
        <v>1994</v>
      </c>
      <c r="F474" t="s">
        <v>1999</v>
      </c>
      <c r="G474" t="s">
        <v>2003</v>
      </c>
      <c r="H474">
        <v>4</v>
      </c>
      <c r="I474">
        <v>19</v>
      </c>
      <c r="J474">
        <v>76</v>
      </c>
      <c r="K474">
        <f t="shared" si="7"/>
        <v>3</v>
      </c>
    </row>
    <row r="475" spans="1:11" x14ac:dyDescent="0.3">
      <c r="A475" t="s">
        <v>483</v>
      </c>
      <c r="B475" s="1">
        <v>45509</v>
      </c>
      <c r="C475" t="s">
        <v>1483</v>
      </c>
      <c r="D475" t="s">
        <v>1964</v>
      </c>
      <c r="E475" t="s">
        <v>1994</v>
      </c>
      <c r="F475" t="s">
        <v>1996</v>
      </c>
      <c r="G475" t="s">
        <v>2001</v>
      </c>
      <c r="H475">
        <v>2</v>
      </c>
      <c r="I475">
        <v>204</v>
      </c>
      <c r="J475">
        <v>408</v>
      </c>
      <c r="K475">
        <f t="shared" si="7"/>
        <v>3</v>
      </c>
    </row>
    <row r="476" spans="1:11" x14ac:dyDescent="0.3">
      <c r="A476" t="s">
        <v>484</v>
      </c>
      <c r="B476" s="1">
        <v>45493</v>
      </c>
      <c r="C476" t="s">
        <v>1484</v>
      </c>
      <c r="D476" t="s">
        <v>1965</v>
      </c>
      <c r="E476" t="s">
        <v>1991</v>
      </c>
      <c r="F476" t="s">
        <v>1992</v>
      </c>
      <c r="G476" t="s">
        <v>1995</v>
      </c>
      <c r="H476">
        <v>1</v>
      </c>
      <c r="I476">
        <v>392</v>
      </c>
      <c r="J476">
        <v>392</v>
      </c>
      <c r="K476">
        <f t="shared" si="7"/>
        <v>2</v>
      </c>
    </row>
    <row r="477" spans="1:11" x14ac:dyDescent="0.3">
      <c r="A477" t="s">
        <v>485</v>
      </c>
      <c r="B477" s="1">
        <v>45319</v>
      </c>
      <c r="C477" t="s">
        <v>1485</v>
      </c>
      <c r="D477" t="s">
        <v>1966</v>
      </c>
      <c r="E477" t="s">
        <v>1991</v>
      </c>
      <c r="F477" t="s">
        <v>1992</v>
      </c>
      <c r="G477" t="s">
        <v>1995</v>
      </c>
      <c r="H477">
        <v>1</v>
      </c>
      <c r="I477">
        <v>358</v>
      </c>
      <c r="J477">
        <v>358</v>
      </c>
      <c r="K477">
        <f t="shared" si="7"/>
        <v>2</v>
      </c>
    </row>
    <row r="478" spans="1:11" x14ac:dyDescent="0.3">
      <c r="A478" t="s">
        <v>486</v>
      </c>
      <c r="B478" s="1">
        <v>45477</v>
      </c>
      <c r="C478" t="s">
        <v>1486</v>
      </c>
      <c r="D478" t="s">
        <v>1967</v>
      </c>
      <c r="E478" t="s">
        <v>1994</v>
      </c>
      <c r="F478" t="s">
        <v>1996</v>
      </c>
      <c r="G478" t="s">
        <v>2001</v>
      </c>
      <c r="H478">
        <v>3</v>
      </c>
      <c r="I478">
        <v>190</v>
      </c>
      <c r="J478">
        <v>570</v>
      </c>
      <c r="K478">
        <f t="shared" si="7"/>
        <v>2</v>
      </c>
    </row>
    <row r="479" spans="1:11" x14ac:dyDescent="0.3">
      <c r="A479" t="s">
        <v>487</v>
      </c>
      <c r="B479" s="1">
        <v>45309</v>
      </c>
      <c r="C479" t="s">
        <v>1487</v>
      </c>
      <c r="D479" t="s">
        <v>1968</v>
      </c>
      <c r="E479" t="s">
        <v>1991</v>
      </c>
      <c r="F479" t="s">
        <v>1992</v>
      </c>
      <c r="G479" t="s">
        <v>1993</v>
      </c>
      <c r="H479">
        <v>5</v>
      </c>
      <c r="I479">
        <v>493</v>
      </c>
      <c r="J479">
        <v>2465</v>
      </c>
      <c r="K479">
        <f t="shared" si="7"/>
        <v>4</v>
      </c>
    </row>
    <row r="480" spans="1:11" x14ac:dyDescent="0.3">
      <c r="A480" t="s">
        <v>488</v>
      </c>
      <c r="B480" s="1">
        <v>45334</v>
      </c>
      <c r="C480" t="s">
        <v>1488</v>
      </c>
      <c r="D480" t="s">
        <v>1969</v>
      </c>
      <c r="E480" t="s">
        <v>1994</v>
      </c>
      <c r="F480" t="s">
        <v>1992</v>
      </c>
      <c r="G480" t="s">
        <v>1993</v>
      </c>
      <c r="H480">
        <v>4</v>
      </c>
      <c r="I480">
        <v>381</v>
      </c>
      <c r="J480">
        <v>1524</v>
      </c>
      <c r="K480">
        <f t="shared" si="7"/>
        <v>1</v>
      </c>
    </row>
    <row r="481" spans="1:11" x14ac:dyDescent="0.3">
      <c r="A481" t="s">
        <v>489</v>
      </c>
      <c r="B481" s="1">
        <v>45507</v>
      </c>
      <c r="C481" t="s">
        <v>1489</v>
      </c>
      <c r="D481" t="s">
        <v>1970</v>
      </c>
      <c r="E481" t="s">
        <v>1994</v>
      </c>
      <c r="F481" t="s">
        <v>1992</v>
      </c>
      <c r="G481" t="s">
        <v>1993</v>
      </c>
      <c r="H481">
        <v>3</v>
      </c>
      <c r="I481">
        <v>492</v>
      </c>
      <c r="J481">
        <v>1476</v>
      </c>
      <c r="K481">
        <f t="shared" si="7"/>
        <v>2</v>
      </c>
    </row>
    <row r="482" spans="1:11" x14ac:dyDescent="0.3">
      <c r="A482" t="s">
        <v>490</v>
      </c>
      <c r="B482" s="1">
        <v>45333</v>
      </c>
      <c r="C482" t="s">
        <v>1490</v>
      </c>
      <c r="D482" t="s">
        <v>1971</v>
      </c>
      <c r="E482" t="s">
        <v>1991</v>
      </c>
      <c r="F482" t="s">
        <v>1996</v>
      </c>
      <c r="G482" t="s">
        <v>2001</v>
      </c>
      <c r="H482">
        <v>5</v>
      </c>
      <c r="I482">
        <v>228</v>
      </c>
      <c r="J482">
        <v>1140</v>
      </c>
      <c r="K482">
        <f t="shared" si="7"/>
        <v>1</v>
      </c>
    </row>
    <row r="483" spans="1:11" x14ac:dyDescent="0.3">
      <c r="A483" t="s">
        <v>491</v>
      </c>
      <c r="B483" s="1">
        <v>45382</v>
      </c>
      <c r="C483" t="s">
        <v>1491</v>
      </c>
      <c r="D483" t="s">
        <v>1972</v>
      </c>
      <c r="E483" t="s">
        <v>1991</v>
      </c>
      <c r="F483" t="s">
        <v>1999</v>
      </c>
      <c r="G483" t="s">
        <v>2000</v>
      </c>
      <c r="H483">
        <v>4</v>
      </c>
      <c r="I483">
        <v>16</v>
      </c>
      <c r="J483">
        <v>64</v>
      </c>
      <c r="K483">
        <f t="shared" si="7"/>
        <v>1</v>
      </c>
    </row>
    <row r="484" spans="1:11" x14ac:dyDescent="0.3">
      <c r="A484" t="s">
        <v>492</v>
      </c>
      <c r="B484" s="1">
        <v>45306</v>
      </c>
      <c r="C484" t="s">
        <v>1492</v>
      </c>
      <c r="D484" t="s">
        <v>1973</v>
      </c>
      <c r="E484" t="s">
        <v>1994</v>
      </c>
      <c r="F484" t="s">
        <v>1992</v>
      </c>
      <c r="G484" t="s">
        <v>1998</v>
      </c>
      <c r="H484">
        <v>1</v>
      </c>
      <c r="I484">
        <v>255</v>
      </c>
      <c r="J484">
        <v>255</v>
      </c>
      <c r="K484">
        <f t="shared" si="7"/>
        <v>1</v>
      </c>
    </row>
    <row r="485" spans="1:11" x14ac:dyDescent="0.3">
      <c r="A485" t="s">
        <v>493</v>
      </c>
      <c r="B485" s="1">
        <v>45416</v>
      </c>
      <c r="C485" t="s">
        <v>1493</v>
      </c>
      <c r="D485" t="s">
        <v>1974</v>
      </c>
      <c r="E485" t="s">
        <v>1991</v>
      </c>
      <c r="F485" t="s">
        <v>1999</v>
      </c>
      <c r="G485" t="s">
        <v>2002</v>
      </c>
      <c r="H485">
        <v>4</v>
      </c>
      <c r="I485">
        <v>16</v>
      </c>
      <c r="J485">
        <v>64</v>
      </c>
      <c r="K485">
        <f t="shared" si="7"/>
        <v>2</v>
      </c>
    </row>
    <row r="486" spans="1:11" x14ac:dyDescent="0.3">
      <c r="A486" t="s">
        <v>494</v>
      </c>
      <c r="B486" s="1">
        <v>45482</v>
      </c>
      <c r="C486" t="s">
        <v>1494</v>
      </c>
      <c r="D486" t="s">
        <v>1975</v>
      </c>
      <c r="E486" t="s">
        <v>1991</v>
      </c>
      <c r="F486" t="s">
        <v>1996</v>
      </c>
      <c r="G486" t="s">
        <v>2001</v>
      </c>
      <c r="H486">
        <v>5</v>
      </c>
      <c r="I486">
        <v>236</v>
      </c>
      <c r="J486">
        <v>1180</v>
      </c>
      <c r="K486">
        <f t="shared" si="7"/>
        <v>1</v>
      </c>
    </row>
    <row r="487" spans="1:11" x14ac:dyDescent="0.3">
      <c r="A487" t="s">
        <v>495</v>
      </c>
      <c r="B487" s="1">
        <v>45336</v>
      </c>
      <c r="C487" t="s">
        <v>1495</v>
      </c>
      <c r="D487" t="s">
        <v>1976</v>
      </c>
      <c r="E487" t="s">
        <v>1991</v>
      </c>
      <c r="F487" t="s">
        <v>1999</v>
      </c>
      <c r="G487" t="s">
        <v>2003</v>
      </c>
      <c r="H487">
        <v>4</v>
      </c>
      <c r="I487">
        <v>23</v>
      </c>
      <c r="J487">
        <v>92</v>
      </c>
      <c r="K487">
        <f t="shared" si="7"/>
        <v>2</v>
      </c>
    </row>
    <row r="488" spans="1:11" x14ac:dyDescent="0.3">
      <c r="A488" t="s">
        <v>496</v>
      </c>
      <c r="B488" s="1">
        <v>45471</v>
      </c>
      <c r="C488" t="s">
        <v>1496</v>
      </c>
      <c r="D488" t="s">
        <v>1977</v>
      </c>
      <c r="E488" t="s">
        <v>1991</v>
      </c>
      <c r="F488" t="s">
        <v>1999</v>
      </c>
      <c r="G488" t="s">
        <v>2003</v>
      </c>
      <c r="H488">
        <v>2</v>
      </c>
      <c r="I488">
        <v>33</v>
      </c>
      <c r="J488">
        <v>66</v>
      </c>
      <c r="K488">
        <f t="shared" si="7"/>
        <v>1</v>
      </c>
    </row>
    <row r="489" spans="1:11" x14ac:dyDescent="0.3">
      <c r="A489" t="s">
        <v>497</v>
      </c>
      <c r="B489" s="1">
        <v>45395</v>
      </c>
      <c r="C489" t="s">
        <v>1497</v>
      </c>
      <c r="D489" t="s">
        <v>1978</v>
      </c>
      <c r="E489" t="s">
        <v>1991</v>
      </c>
      <c r="F489" t="s">
        <v>1999</v>
      </c>
      <c r="G489" t="s">
        <v>2002</v>
      </c>
      <c r="H489">
        <v>2</v>
      </c>
      <c r="I489">
        <v>37</v>
      </c>
      <c r="J489">
        <v>74</v>
      </c>
      <c r="K489">
        <f t="shared" si="7"/>
        <v>1</v>
      </c>
    </row>
    <row r="490" spans="1:11" x14ac:dyDescent="0.3">
      <c r="A490" t="s">
        <v>498</v>
      </c>
      <c r="B490" s="1">
        <v>45416</v>
      </c>
      <c r="C490" t="s">
        <v>1498</v>
      </c>
      <c r="D490" t="s">
        <v>1979</v>
      </c>
      <c r="E490" t="s">
        <v>1991</v>
      </c>
      <c r="F490" t="s">
        <v>1999</v>
      </c>
      <c r="G490" t="s">
        <v>2000</v>
      </c>
      <c r="H490">
        <v>2</v>
      </c>
      <c r="I490">
        <v>10</v>
      </c>
      <c r="J490">
        <v>20</v>
      </c>
      <c r="K490">
        <f t="shared" si="7"/>
        <v>4</v>
      </c>
    </row>
    <row r="491" spans="1:11" x14ac:dyDescent="0.3">
      <c r="A491" t="s">
        <v>499</v>
      </c>
      <c r="B491" s="1">
        <v>45530</v>
      </c>
      <c r="C491" t="s">
        <v>1499</v>
      </c>
      <c r="D491" t="s">
        <v>1980</v>
      </c>
      <c r="E491" t="s">
        <v>1991</v>
      </c>
      <c r="F491" t="s">
        <v>1992</v>
      </c>
      <c r="G491" t="s">
        <v>1995</v>
      </c>
      <c r="H491">
        <v>3</v>
      </c>
      <c r="I491">
        <v>474</v>
      </c>
      <c r="J491">
        <v>1422</v>
      </c>
      <c r="K491">
        <f t="shared" si="7"/>
        <v>1</v>
      </c>
    </row>
    <row r="492" spans="1:11" x14ac:dyDescent="0.3">
      <c r="A492" t="s">
        <v>500</v>
      </c>
      <c r="B492" s="1">
        <v>45358</v>
      </c>
      <c r="C492" t="s">
        <v>1500</v>
      </c>
      <c r="D492" t="s">
        <v>1981</v>
      </c>
      <c r="E492" t="s">
        <v>1991</v>
      </c>
      <c r="F492" t="s">
        <v>1999</v>
      </c>
      <c r="G492" t="s">
        <v>2000</v>
      </c>
      <c r="H492">
        <v>4</v>
      </c>
      <c r="I492">
        <v>31</v>
      </c>
      <c r="J492">
        <v>124</v>
      </c>
      <c r="K492">
        <f t="shared" si="7"/>
        <v>2</v>
      </c>
    </row>
    <row r="493" spans="1:11" x14ac:dyDescent="0.3">
      <c r="A493" t="s">
        <v>501</v>
      </c>
      <c r="B493" s="1">
        <v>45393</v>
      </c>
      <c r="C493" t="s">
        <v>1501</v>
      </c>
      <c r="D493" t="s">
        <v>1982</v>
      </c>
      <c r="E493" t="s">
        <v>1994</v>
      </c>
      <c r="F493" t="s">
        <v>1999</v>
      </c>
      <c r="G493" t="s">
        <v>2000</v>
      </c>
      <c r="H493">
        <v>3</v>
      </c>
      <c r="I493">
        <v>13</v>
      </c>
      <c r="J493">
        <v>39</v>
      </c>
      <c r="K493">
        <f t="shared" si="7"/>
        <v>2</v>
      </c>
    </row>
    <row r="494" spans="1:11" x14ac:dyDescent="0.3">
      <c r="A494" t="s">
        <v>502</v>
      </c>
      <c r="B494" s="1">
        <v>45517</v>
      </c>
      <c r="C494" t="s">
        <v>1502</v>
      </c>
      <c r="D494" t="s">
        <v>1983</v>
      </c>
      <c r="E494" t="s">
        <v>1994</v>
      </c>
      <c r="F494" t="s">
        <v>1996</v>
      </c>
      <c r="G494" t="s">
        <v>2004</v>
      </c>
      <c r="H494">
        <v>4</v>
      </c>
      <c r="I494">
        <v>165</v>
      </c>
      <c r="J494">
        <v>660</v>
      </c>
      <c r="K494">
        <f t="shared" si="7"/>
        <v>3</v>
      </c>
    </row>
    <row r="495" spans="1:11" x14ac:dyDescent="0.3">
      <c r="A495" t="s">
        <v>503</v>
      </c>
      <c r="B495" s="1">
        <v>45340</v>
      </c>
      <c r="C495" t="s">
        <v>1503</v>
      </c>
      <c r="D495" t="s">
        <v>1953</v>
      </c>
      <c r="E495" t="s">
        <v>1991</v>
      </c>
      <c r="F495" t="s">
        <v>1992</v>
      </c>
      <c r="G495" t="s">
        <v>1993</v>
      </c>
      <c r="H495">
        <v>4</v>
      </c>
      <c r="I495">
        <v>239</v>
      </c>
      <c r="J495">
        <v>956</v>
      </c>
      <c r="K495">
        <f t="shared" si="7"/>
        <v>3</v>
      </c>
    </row>
    <row r="496" spans="1:11" x14ac:dyDescent="0.3">
      <c r="A496" t="s">
        <v>504</v>
      </c>
      <c r="B496" s="1">
        <v>45491</v>
      </c>
      <c r="C496" t="s">
        <v>1504</v>
      </c>
      <c r="D496" t="s">
        <v>1984</v>
      </c>
      <c r="E496" t="s">
        <v>1991</v>
      </c>
      <c r="F496" t="s">
        <v>1996</v>
      </c>
      <c r="G496" t="s">
        <v>2001</v>
      </c>
      <c r="H496">
        <v>1</v>
      </c>
      <c r="I496">
        <v>239</v>
      </c>
      <c r="J496">
        <v>239</v>
      </c>
      <c r="K496">
        <f t="shared" si="7"/>
        <v>1</v>
      </c>
    </row>
    <row r="497" spans="1:11" x14ac:dyDescent="0.3">
      <c r="A497" t="s">
        <v>505</v>
      </c>
      <c r="B497" s="1">
        <v>45373</v>
      </c>
      <c r="C497" t="s">
        <v>1505</v>
      </c>
      <c r="D497" t="s">
        <v>1985</v>
      </c>
      <c r="E497" t="s">
        <v>1991</v>
      </c>
      <c r="F497" t="s">
        <v>1999</v>
      </c>
      <c r="G497" t="s">
        <v>2000</v>
      </c>
      <c r="H497">
        <v>4</v>
      </c>
      <c r="I497">
        <v>46</v>
      </c>
      <c r="J497">
        <v>184</v>
      </c>
      <c r="K497">
        <f t="shared" si="7"/>
        <v>3</v>
      </c>
    </row>
    <row r="498" spans="1:11" x14ac:dyDescent="0.3">
      <c r="A498" t="s">
        <v>506</v>
      </c>
      <c r="B498" s="1">
        <v>45449</v>
      </c>
      <c r="C498" t="s">
        <v>1506</v>
      </c>
      <c r="D498" t="s">
        <v>1986</v>
      </c>
      <c r="E498" t="s">
        <v>1991</v>
      </c>
      <c r="F498" t="s">
        <v>1992</v>
      </c>
      <c r="G498" t="s">
        <v>1998</v>
      </c>
      <c r="H498">
        <v>5</v>
      </c>
      <c r="I498">
        <v>404</v>
      </c>
      <c r="J498">
        <v>2020</v>
      </c>
      <c r="K498">
        <f t="shared" si="7"/>
        <v>2</v>
      </c>
    </row>
    <row r="499" spans="1:11" x14ac:dyDescent="0.3">
      <c r="A499" t="s">
        <v>507</v>
      </c>
      <c r="B499" s="1">
        <v>45347</v>
      </c>
      <c r="C499" t="s">
        <v>1507</v>
      </c>
      <c r="D499" t="s">
        <v>1987</v>
      </c>
      <c r="E499" t="s">
        <v>1994</v>
      </c>
      <c r="F499" t="s">
        <v>1999</v>
      </c>
      <c r="G499" t="s">
        <v>2002</v>
      </c>
      <c r="H499">
        <v>4</v>
      </c>
      <c r="I499">
        <v>12</v>
      </c>
      <c r="J499">
        <v>48</v>
      </c>
      <c r="K499">
        <f t="shared" si="7"/>
        <v>1</v>
      </c>
    </row>
    <row r="500" spans="1:11" x14ac:dyDescent="0.3">
      <c r="A500" t="s">
        <v>508</v>
      </c>
      <c r="B500" s="1">
        <v>45405</v>
      </c>
      <c r="C500" t="s">
        <v>1508</v>
      </c>
      <c r="D500" t="s">
        <v>1988</v>
      </c>
      <c r="E500" t="s">
        <v>1991</v>
      </c>
      <c r="F500" t="s">
        <v>1999</v>
      </c>
      <c r="G500" t="s">
        <v>2002</v>
      </c>
      <c r="H500">
        <v>3</v>
      </c>
      <c r="I500">
        <v>47</v>
      </c>
      <c r="J500">
        <v>141</v>
      </c>
      <c r="K500">
        <f t="shared" si="7"/>
        <v>2</v>
      </c>
    </row>
    <row r="501" spans="1:11" x14ac:dyDescent="0.3">
      <c r="A501" t="s">
        <v>509</v>
      </c>
      <c r="B501" s="1">
        <v>45547</v>
      </c>
      <c r="C501" t="s">
        <v>1509</v>
      </c>
      <c r="D501" t="s">
        <v>1989</v>
      </c>
      <c r="E501" t="s">
        <v>1991</v>
      </c>
      <c r="F501" t="s">
        <v>1992</v>
      </c>
      <c r="G501" t="s">
        <v>1993</v>
      </c>
      <c r="H501">
        <v>2</v>
      </c>
      <c r="I501">
        <v>363</v>
      </c>
      <c r="J501">
        <v>726</v>
      </c>
      <c r="K501">
        <f t="shared" si="7"/>
        <v>1</v>
      </c>
    </row>
    <row r="502" spans="1:11" x14ac:dyDescent="0.3">
      <c r="A502" t="s">
        <v>510</v>
      </c>
      <c r="B502" s="1">
        <v>45466</v>
      </c>
      <c r="C502" t="s">
        <v>1429</v>
      </c>
      <c r="D502" t="s">
        <v>1877</v>
      </c>
      <c r="E502" t="s">
        <v>1994</v>
      </c>
      <c r="F502" t="s">
        <v>1999</v>
      </c>
      <c r="G502" t="s">
        <v>2002</v>
      </c>
      <c r="H502">
        <v>2</v>
      </c>
      <c r="I502">
        <v>31</v>
      </c>
      <c r="J502">
        <v>62</v>
      </c>
      <c r="K502">
        <f t="shared" si="7"/>
        <v>2</v>
      </c>
    </row>
    <row r="503" spans="1:11" x14ac:dyDescent="0.3">
      <c r="A503" t="s">
        <v>511</v>
      </c>
      <c r="B503" s="1">
        <v>45538</v>
      </c>
      <c r="C503" t="s">
        <v>1449</v>
      </c>
      <c r="D503" t="s">
        <v>1918</v>
      </c>
      <c r="E503" t="s">
        <v>1994</v>
      </c>
      <c r="F503" t="s">
        <v>1996</v>
      </c>
      <c r="G503" t="s">
        <v>2001</v>
      </c>
      <c r="H503">
        <v>4</v>
      </c>
      <c r="I503">
        <v>154</v>
      </c>
      <c r="J503">
        <v>616</v>
      </c>
      <c r="K503">
        <f t="shared" si="7"/>
        <v>1</v>
      </c>
    </row>
    <row r="504" spans="1:11" x14ac:dyDescent="0.3">
      <c r="A504" t="s">
        <v>512</v>
      </c>
      <c r="B504" s="1">
        <v>45363</v>
      </c>
      <c r="C504" t="s">
        <v>1037</v>
      </c>
      <c r="D504" t="s">
        <v>1566</v>
      </c>
      <c r="E504" t="s">
        <v>1991</v>
      </c>
      <c r="F504" t="s">
        <v>1999</v>
      </c>
      <c r="G504" t="s">
        <v>2003</v>
      </c>
      <c r="H504">
        <v>5</v>
      </c>
      <c r="I504">
        <v>30</v>
      </c>
      <c r="J504">
        <v>150</v>
      </c>
      <c r="K504">
        <f t="shared" si="7"/>
        <v>3</v>
      </c>
    </row>
    <row r="505" spans="1:11" x14ac:dyDescent="0.3">
      <c r="A505" t="s">
        <v>513</v>
      </c>
      <c r="B505" s="1">
        <v>45373</v>
      </c>
      <c r="C505" t="s">
        <v>1375</v>
      </c>
      <c r="D505" t="s">
        <v>1572</v>
      </c>
      <c r="E505" t="s">
        <v>1994</v>
      </c>
      <c r="F505" t="s">
        <v>1992</v>
      </c>
      <c r="G505" t="s">
        <v>1995</v>
      </c>
      <c r="H505">
        <v>3</v>
      </c>
      <c r="I505">
        <v>368</v>
      </c>
      <c r="J505">
        <v>1104</v>
      </c>
      <c r="K505">
        <f t="shared" si="7"/>
        <v>1</v>
      </c>
    </row>
    <row r="506" spans="1:11" x14ac:dyDescent="0.3">
      <c r="A506" t="s">
        <v>514</v>
      </c>
      <c r="B506" s="1">
        <v>45366</v>
      </c>
      <c r="C506" t="s">
        <v>1458</v>
      </c>
      <c r="D506" t="e">
        <v>#REF!</v>
      </c>
      <c r="E506" t="s">
        <v>1991</v>
      </c>
      <c r="F506" t="s">
        <v>1992</v>
      </c>
      <c r="G506" t="s">
        <v>1993</v>
      </c>
      <c r="H506">
        <v>2</v>
      </c>
      <c r="I506">
        <v>216</v>
      </c>
      <c r="J506">
        <v>432</v>
      </c>
      <c r="K506">
        <f t="shared" si="7"/>
        <v>2</v>
      </c>
    </row>
    <row r="507" spans="1:11" x14ac:dyDescent="0.3">
      <c r="A507" t="s">
        <v>515</v>
      </c>
      <c r="B507" s="1">
        <v>45380</v>
      </c>
      <c r="C507" t="s">
        <v>1030</v>
      </c>
      <c r="D507" t="s">
        <v>1819</v>
      </c>
      <c r="E507" t="s">
        <v>1991</v>
      </c>
      <c r="F507" t="s">
        <v>1992</v>
      </c>
      <c r="G507" t="s">
        <v>1995</v>
      </c>
      <c r="H507">
        <v>5</v>
      </c>
      <c r="I507">
        <v>437</v>
      </c>
      <c r="J507">
        <v>2185</v>
      </c>
      <c r="K507">
        <f t="shared" si="7"/>
        <v>2</v>
      </c>
    </row>
    <row r="508" spans="1:11" x14ac:dyDescent="0.3">
      <c r="A508" t="s">
        <v>516</v>
      </c>
      <c r="B508" s="1">
        <v>45364</v>
      </c>
      <c r="C508" t="s">
        <v>1372</v>
      </c>
      <c r="D508" t="s">
        <v>1861</v>
      </c>
      <c r="E508" t="s">
        <v>1991</v>
      </c>
      <c r="F508" t="s">
        <v>1992</v>
      </c>
      <c r="G508" t="s">
        <v>1995</v>
      </c>
      <c r="H508">
        <v>4</v>
      </c>
      <c r="I508">
        <v>459</v>
      </c>
      <c r="J508">
        <v>1836</v>
      </c>
      <c r="K508">
        <f t="shared" si="7"/>
        <v>1</v>
      </c>
    </row>
    <row r="509" spans="1:11" x14ac:dyDescent="0.3">
      <c r="A509" t="s">
        <v>517</v>
      </c>
      <c r="B509" s="1">
        <v>45409</v>
      </c>
      <c r="C509" t="s">
        <v>1479</v>
      </c>
      <c r="D509" t="s">
        <v>1941</v>
      </c>
      <c r="E509" t="s">
        <v>1994</v>
      </c>
      <c r="F509" t="s">
        <v>1992</v>
      </c>
      <c r="G509" t="s">
        <v>1995</v>
      </c>
      <c r="H509">
        <v>2</v>
      </c>
      <c r="I509">
        <v>322</v>
      </c>
      <c r="J509">
        <v>644</v>
      </c>
      <c r="K509">
        <f t="shared" si="7"/>
        <v>3</v>
      </c>
    </row>
    <row r="510" spans="1:11" x14ac:dyDescent="0.3">
      <c r="A510" t="s">
        <v>518</v>
      </c>
      <c r="B510" s="1">
        <v>45293</v>
      </c>
      <c r="C510" t="s">
        <v>1274</v>
      </c>
      <c r="D510" t="s">
        <v>1571</v>
      </c>
      <c r="E510" t="s">
        <v>1991</v>
      </c>
      <c r="F510" t="s">
        <v>1999</v>
      </c>
      <c r="G510" t="s">
        <v>2002</v>
      </c>
      <c r="H510">
        <v>3</v>
      </c>
      <c r="I510">
        <v>45</v>
      </c>
      <c r="J510">
        <v>135</v>
      </c>
      <c r="K510">
        <f t="shared" si="7"/>
        <v>2</v>
      </c>
    </row>
    <row r="511" spans="1:11" x14ac:dyDescent="0.3">
      <c r="A511" t="s">
        <v>519</v>
      </c>
      <c r="B511" s="1">
        <v>45406</v>
      </c>
      <c r="C511" t="s">
        <v>1256</v>
      </c>
      <c r="D511" t="s">
        <v>1833</v>
      </c>
      <c r="E511" t="s">
        <v>1994</v>
      </c>
      <c r="F511" t="s">
        <v>1996</v>
      </c>
      <c r="G511" t="s">
        <v>2001</v>
      </c>
      <c r="H511">
        <v>3</v>
      </c>
      <c r="I511">
        <v>187</v>
      </c>
      <c r="J511">
        <v>561</v>
      </c>
      <c r="K511">
        <f t="shared" si="7"/>
        <v>2</v>
      </c>
    </row>
    <row r="512" spans="1:11" x14ac:dyDescent="0.3">
      <c r="A512" t="s">
        <v>520</v>
      </c>
      <c r="B512" s="1">
        <v>45435</v>
      </c>
      <c r="C512" t="s">
        <v>1190</v>
      </c>
      <c r="D512" t="s">
        <v>1783</v>
      </c>
      <c r="E512" t="s">
        <v>1991</v>
      </c>
      <c r="F512" t="s">
        <v>1992</v>
      </c>
      <c r="G512" t="s">
        <v>1995</v>
      </c>
      <c r="H512">
        <v>2</v>
      </c>
      <c r="I512">
        <v>272</v>
      </c>
      <c r="J512">
        <v>544</v>
      </c>
      <c r="K512">
        <f t="shared" si="7"/>
        <v>1</v>
      </c>
    </row>
    <row r="513" spans="1:11" x14ac:dyDescent="0.3">
      <c r="A513" t="s">
        <v>521</v>
      </c>
      <c r="B513" s="1">
        <v>45481</v>
      </c>
      <c r="C513" t="s">
        <v>1409</v>
      </c>
      <c r="D513" t="s">
        <v>1848</v>
      </c>
      <c r="E513" t="s">
        <v>1991</v>
      </c>
      <c r="F513" t="s">
        <v>1999</v>
      </c>
      <c r="G513" t="s">
        <v>2002</v>
      </c>
      <c r="H513">
        <v>5</v>
      </c>
      <c r="I513">
        <v>42</v>
      </c>
      <c r="J513">
        <v>210</v>
      </c>
      <c r="K513">
        <f t="shared" si="7"/>
        <v>4</v>
      </c>
    </row>
    <row r="514" spans="1:11" x14ac:dyDescent="0.3">
      <c r="A514" t="s">
        <v>522</v>
      </c>
      <c r="B514" s="1">
        <v>45397</v>
      </c>
      <c r="C514" t="s">
        <v>1306</v>
      </c>
      <c r="D514" t="s">
        <v>1659</v>
      </c>
      <c r="E514" t="s">
        <v>1991</v>
      </c>
      <c r="F514" t="s">
        <v>1992</v>
      </c>
      <c r="G514" t="s">
        <v>1995</v>
      </c>
      <c r="H514">
        <v>2</v>
      </c>
      <c r="I514">
        <v>431</v>
      </c>
      <c r="J514">
        <v>862</v>
      </c>
      <c r="K514">
        <f t="shared" si="7"/>
        <v>3</v>
      </c>
    </row>
    <row r="515" spans="1:11" x14ac:dyDescent="0.3">
      <c r="A515" t="s">
        <v>523</v>
      </c>
      <c r="B515" s="1">
        <v>45417</v>
      </c>
      <c r="C515" t="s">
        <v>1086</v>
      </c>
      <c r="D515" t="s">
        <v>1554</v>
      </c>
      <c r="E515" t="s">
        <v>1994</v>
      </c>
      <c r="F515" t="s">
        <v>1996</v>
      </c>
      <c r="G515" t="s">
        <v>1997</v>
      </c>
      <c r="H515">
        <v>4</v>
      </c>
      <c r="I515">
        <v>152</v>
      </c>
      <c r="J515">
        <v>608</v>
      </c>
      <c r="K515">
        <f t="shared" ref="K515:K578" si="8">COUNTIF(C515:C1514,C515)</f>
        <v>2</v>
      </c>
    </row>
    <row r="516" spans="1:11" x14ac:dyDescent="0.3">
      <c r="A516" t="s">
        <v>524</v>
      </c>
      <c r="B516" s="1">
        <v>45339</v>
      </c>
      <c r="C516" t="s">
        <v>1270</v>
      </c>
      <c r="D516" t="s">
        <v>1530</v>
      </c>
      <c r="E516" t="s">
        <v>1991</v>
      </c>
      <c r="F516" t="s">
        <v>1996</v>
      </c>
      <c r="G516" t="s">
        <v>2001</v>
      </c>
      <c r="H516">
        <v>1</v>
      </c>
      <c r="I516">
        <v>161</v>
      </c>
      <c r="J516">
        <v>161</v>
      </c>
      <c r="K516">
        <f t="shared" si="8"/>
        <v>2</v>
      </c>
    </row>
    <row r="517" spans="1:11" x14ac:dyDescent="0.3">
      <c r="A517" t="s">
        <v>525</v>
      </c>
      <c r="B517" s="1">
        <v>45470</v>
      </c>
      <c r="C517" t="s">
        <v>1304</v>
      </c>
      <c r="D517" t="s">
        <v>1699</v>
      </c>
      <c r="E517" t="s">
        <v>1991</v>
      </c>
      <c r="F517" t="s">
        <v>1992</v>
      </c>
      <c r="G517" t="s">
        <v>1995</v>
      </c>
      <c r="H517">
        <v>4</v>
      </c>
      <c r="I517">
        <v>217</v>
      </c>
      <c r="J517">
        <v>868</v>
      </c>
      <c r="K517">
        <f t="shared" si="8"/>
        <v>1</v>
      </c>
    </row>
    <row r="518" spans="1:11" x14ac:dyDescent="0.3">
      <c r="A518" t="s">
        <v>526</v>
      </c>
      <c r="B518" s="1">
        <v>45321</v>
      </c>
      <c r="C518" t="s">
        <v>1457</v>
      </c>
      <c r="D518" t="s">
        <v>1550</v>
      </c>
      <c r="E518" t="s">
        <v>1991</v>
      </c>
      <c r="F518" t="s">
        <v>1999</v>
      </c>
      <c r="G518" t="s">
        <v>2003</v>
      </c>
      <c r="H518">
        <v>2</v>
      </c>
      <c r="I518">
        <v>30</v>
      </c>
      <c r="J518">
        <v>60</v>
      </c>
      <c r="K518">
        <f t="shared" si="8"/>
        <v>2</v>
      </c>
    </row>
    <row r="519" spans="1:11" x14ac:dyDescent="0.3">
      <c r="A519" t="s">
        <v>527</v>
      </c>
      <c r="B519" s="1">
        <v>45395</v>
      </c>
      <c r="C519" t="s">
        <v>1197</v>
      </c>
      <c r="D519" t="s">
        <v>1874</v>
      </c>
      <c r="E519" t="s">
        <v>1994</v>
      </c>
      <c r="F519" t="s">
        <v>1992</v>
      </c>
      <c r="G519" t="s">
        <v>1993</v>
      </c>
      <c r="H519">
        <v>5</v>
      </c>
      <c r="I519">
        <v>231</v>
      </c>
      <c r="J519">
        <v>1155</v>
      </c>
      <c r="K519">
        <f t="shared" si="8"/>
        <v>5</v>
      </c>
    </row>
    <row r="520" spans="1:11" x14ac:dyDescent="0.3">
      <c r="A520" t="s">
        <v>528</v>
      </c>
      <c r="B520" s="1">
        <v>45424</v>
      </c>
      <c r="C520" t="s">
        <v>1370</v>
      </c>
      <c r="D520" t="s">
        <v>1774</v>
      </c>
      <c r="E520" t="s">
        <v>1991</v>
      </c>
      <c r="F520" t="s">
        <v>1996</v>
      </c>
      <c r="G520" t="s">
        <v>2001</v>
      </c>
      <c r="H520">
        <v>2</v>
      </c>
      <c r="I520">
        <v>118</v>
      </c>
      <c r="J520">
        <v>236</v>
      </c>
      <c r="K520">
        <f t="shared" si="8"/>
        <v>1</v>
      </c>
    </row>
    <row r="521" spans="1:11" x14ac:dyDescent="0.3">
      <c r="A521" t="s">
        <v>529</v>
      </c>
      <c r="B521" s="1">
        <v>45554</v>
      </c>
      <c r="C521" t="s">
        <v>1260</v>
      </c>
      <c r="D521" t="s">
        <v>1970</v>
      </c>
      <c r="E521" t="s">
        <v>1991</v>
      </c>
      <c r="F521" t="s">
        <v>1999</v>
      </c>
      <c r="G521" t="s">
        <v>2002</v>
      </c>
      <c r="H521">
        <v>2</v>
      </c>
      <c r="I521">
        <v>14</v>
      </c>
      <c r="J521">
        <v>28</v>
      </c>
      <c r="K521">
        <f t="shared" si="8"/>
        <v>1</v>
      </c>
    </row>
    <row r="522" spans="1:11" x14ac:dyDescent="0.3">
      <c r="A522" t="s">
        <v>530</v>
      </c>
      <c r="B522" s="1">
        <v>45366</v>
      </c>
      <c r="C522" t="s">
        <v>1399</v>
      </c>
      <c r="D522" t="s">
        <v>1529</v>
      </c>
      <c r="E522" t="s">
        <v>1991</v>
      </c>
      <c r="F522" t="s">
        <v>1996</v>
      </c>
      <c r="G522" t="s">
        <v>2004</v>
      </c>
      <c r="H522">
        <v>1</v>
      </c>
      <c r="I522">
        <v>241</v>
      </c>
      <c r="J522">
        <v>241</v>
      </c>
      <c r="K522">
        <f t="shared" si="8"/>
        <v>3</v>
      </c>
    </row>
    <row r="523" spans="1:11" x14ac:dyDescent="0.3">
      <c r="A523" t="s">
        <v>531</v>
      </c>
      <c r="B523" s="1">
        <v>45513</v>
      </c>
      <c r="C523" t="s">
        <v>1151</v>
      </c>
      <c r="D523" t="s">
        <v>1939</v>
      </c>
      <c r="E523" t="s">
        <v>1994</v>
      </c>
      <c r="F523" t="s">
        <v>1996</v>
      </c>
      <c r="G523" t="s">
        <v>1997</v>
      </c>
      <c r="H523">
        <v>2</v>
      </c>
      <c r="I523">
        <v>166</v>
      </c>
      <c r="J523">
        <v>332</v>
      </c>
      <c r="K523">
        <f t="shared" si="8"/>
        <v>3</v>
      </c>
    </row>
    <row r="524" spans="1:11" x14ac:dyDescent="0.3">
      <c r="A524" t="s">
        <v>532</v>
      </c>
      <c r="B524" s="1">
        <v>45483</v>
      </c>
      <c r="C524" t="s">
        <v>1225</v>
      </c>
      <c r="D524" t="s">
        <v>1633</v>
      </c>
      <c r="E524" t="s">
        <v>1991</v>
      </c>
      <c r="F524" t="s">
        <v>1999</v>
      </c>
      <c r="G524" t="s">
        <v>2000</v>
      </c>
      <c r="H524">
        <v>1</v>
      </c>
      <c r="I524">
        <v>37</v>
      </c>
      <c r="J524">
        <v>37</v>
      </c>
      <c r="K524">
        <f t="shared" si="8"/>
        <v>4</v>
      </c>
    </row>
    <row r="525" spans="1:11" x14ac:dyDescent="0.3">
      <c r="A525" t="s">
        <v>533</v>
      </c>
      <c r="B525" s="1">
        <v>45558</v>
      </c>
      <c r="C525" t="s">
        <v>1373</v>
      </c>
      <c r="D525" t="s">
        <v>1835</v>
      </c>
      <c r="E525" t="s">
        <v>1991</v>
      </c>
      <c r="F525" t="s">
        <v>1992</v>
      </c>
      <c r="G525" t="s">
        <v>1993</v>
      </c>
      <c r="H525">
        <v>5</v>
      </c>
      <c r="I525">
        <v>377</v>
      </c>
      <c r="J525">
        <v>1885</v>
      </c>
      <c r="K525">
        <f t="shared" si="8"/>
        <v>2</v>
      </c>
    </row>
    <row r="526" spans="1:11" x14ac:dyDescent="0.3">
      <c r="A526" t="s">
        <v>534</v>
      </c>
      <c r="B526" s="1">
        <v>45522</v>
      </c>
      <c r="C526" t="s">
        <v>1158</v>
      </c>
      <c r="D526" t="s">
        <v>1779</v>
      </c>
      <c r="E526" t="s">
        <v>1991</v>
      </c>
      <c r="F526" t="s">
        <v>1999</v>
      </c>
      <c r="G526" t="s">
        <v>2003</v>
      </c>
      <c r="H526">
        <v>2</v>
      </c>
      <c r="I526">
        <v>25</v>
      </c>
      <c r="J526">
        <v>50</v>
      </c>
      <c r="K526">
        <f t="shared" si="8"/>
        <v>2</v>
      </c>
    </row>
    <row r="527" spans="1:11" x14ac:dyDescent="0.3">
      <c r="A527" t="s">
        <v>535</v>
      </c>
      <c r="B527" s="1">
        <v>45350</v>
      </c>
      <c r="C527" t="s">
        <v>1345</v>
      </c>
      <c r="D527" t="s">
        <v>1619</v>
      </c>
      <c r="E527" t="s">
        <v>1994</v>
      </c>
      <c r="F527" t="s">
        <v>1996</v>
      </c>
      <c r="G527" t="s">
        <v>1997</v>
      </c>
      <c r="H527">
        <v>3</v>
      </c>
      <c r="I527">
        <v>299</v>
      </c>
      <c r="J527">
        <v>897</v>
      </c>
      <c r="K527">
        <f t="shared" si="8"/>
        <v>3</v>
      </c>
    </row>
    <row r="528" spans="1:11" x14ac:dyDescent="0.3">
      <c r="A528" t="s">
        <v>536</v>
      </c>
      <c r="B528" s="1">
        <v>45410</v>
      </c>
      <c r="C528" t="s">
        <v>1025</v>
      </c>
      <c r="D528" t="s">
        <v>1850</v>
      </c>
      <c r="E528" t="s">
        <v>1994</v>
      </c>
      <c r="F528" t="s">
        <v>1992</v>
      </c>
      <c r="G528" t="s">
        <v>1995</v>
      </c>
      <c r="H528">
        <v>1</v>
      </c>
      <c r="I528">
        <v>231</v>
      </c>
      <c r="J528">
        <v>231</v>
      </c>
      <c r="K528">
        <f t="shared" si="8"/>
        <v>2</v>
      </c>
    </row>
    <row r="529" spans="1:11" x14ac:dyDescent="0.3">
      <c r="A529" t="s">
        <v>537</v>
      </c>
      <c r="B529" s="1">
        <v>45449</v>
      </c>
      <c r="C529" t="s">
        <v>1483</v>
      </c>
      <c r="D529" t="s">
        <v>1728</v>
      </c>
      <c r="E529" t="s">
        <v>1991</v>
      </c>
      <c r="F529" t="s">
        <v>1996</v>
      </c>
      <c r="G529" t="s">
        <v>1997</v>
      </c>
      <c r="H529">
        <v>5</v>
      </c>
      <c r="I529">
        <v>170</v>
      </c>
      <c r="J529">
        <v>850</v>
      </c>
      <c r="K529">
        <f t="shared" si="8"/>
        <v>2</v>
      </c>
    </row>
    <row r="530" spans="1:11" x14ac:dyDescent="0.3">
      <c r="A530" t="s">
        <v>538</v>
      </c>
      <c r="B530" s="1">
        <v>45316</v>
      </c>
      <c r="C530" t="s">
        <v>1472</v>
      </c>
      <c r="D530" t="s">
        <v>1530</v>
      </c>
      <c r="E530" t="s">
        <v>1991</v>
      </c>
      <c r="F530" t="s">
        <v>1996</v>
      </c>
      <c r="G530" t="s">
        <v>1997</v>
      </c>
      <c r="H530">
        <v>4</v>
      </c>
      <c r="I530">
        <v>235</v>
      </c>
      <c r="J530">
        <v>940</v>
      </c>
      <c r="K530">
        <f t="shared" si="8"/>
        <v>1</v>
      </c>
    </row>
    <row r="531" spans="1:11" x14ac:dyDescent="0.3">
      <c r="A531" t="s">
        <v>539</v>
      </c>
      <c r="B531" s="1">
        <v>45404</v>
      </c>
      <c r="C531" t="s">
        <v>1094</v>
      </c>
      <c r="D531" t="s">
        <v>1678</v>
      </c>
      <c r="E531" t="s">
        <v>1991</v>
      </c>
      <c r="F531" t="s">
        <v>1999</v>
      </c>
      <c r="G531" t="s">
        <v>2002</v>
      </c>
      <c r="H531">
        <v>2</v>
      </c>
      <c r="I531">
        <v>13</v>
      </c>
      <c r="J531">
        <v>26</v>
      </c>
      <c r="K531">
        <f t="shared" si="8"/>
        <v>4</v>
      </c>
    </row>
    <row r="532" spans="1:11" x14ac:dyDescent="0.3">
      <c r="A532" t="s">
        <v>540</v>
      </c>
      <c r="B532" s="1">
        <v>45343</v>
      </c>
      <c r="C532" t="s">
        <v>1292</v>
      </c>
      <c r="D532" t="s">
        <v>1526</v>
      </c>
      <c r="E532" t="s">
        <v>1991</v>
      </c>
      <c r="F532" t="s">
        <v>1999</v>
      </c>
      <c r="G532" t="s">
        <v>2000</v>
      </c>
      <c r="H532">
        <v>3</v>
      </c>
      <c r="I532">
        <v>22</v>
      </c>
      <c r="J532">
        <v>66</v>
      </c>
      <c r="K532">
        <f t="shared" si="8"/>
        <v>1</v>
      </c>
    </row>
    <row r="533" spans="1:11" x14ac:dyDescent="0.3">
      <c r="A533" t="s">
        <v>541</v>
      </c>
      <c r="B533" s="1">
        <v>45317</v>
      </c>
      <c r="C533" t="s">
        <v>1097</v>
      </c>
      <c r="D533" t="s">
        <v>1762</v>
      </c>
      <c r="E533" t="s">
        <v>1994</v>
      </c>
      <c r="F533" t="s">
        <v>1996</v>
      </c>
      <c r="G533" t="s">
        <v>1997</v>
      </c>
      <c r="H533">
        <v>2</v>
      </c>
      <c r="I533">
        <v>128</v>
      </c>
      <c r="J533">
        <v>256</v>
      </c>
      <c r="K533">
        <f t="shared" si="8"/>
        <v>3</v>
      </c>
    </row>
    <row r="534" spans="1:11" x14ac:dyDescent="0.3">
      <c r="A534" t="s">
        <v>542</v>
      </c>
      <c r="B534" s="1">
        <v>45314</v>
      </c>
      <c r="C534" t="s">
        <v>1240</v>
      </c>
      <c r="D534" t="s">
        <v>1664</v>
      </c>
      <c r="E534" t="s">
        <v>1994</v>
      </c>
      <c r="F534" t="s">
        <v>1992</v>
      </c>
      <c r="G534" t="s">
        <v>1998</v>
      </c>
      <c r="H534">
        <v>4</v>
      </c>
      <c r="I534">
        <v>330</v>
      </c>
      <c r="J534">
        <v>1320</v>
      </c>
      <c r="K534">
        <f t="shared" si="8"/>
        <v>2</v>
      </c>
    </row>
    <row r="535" spans="1:11" x14ac:dyDescent="0.3">
      <c r="A535" t="s">
        <v>543</v>
      </c>
      <c r="B535" s="1">
        <v>45398</v>
      </c>
      <c r="C535" t="s">
        <v>1140</v>
      </c>
      <c r="D535" t="s">
        <v>1618</v>
      </c>
      <c r="E535" t="s">
        <v>1994</v>
      </c>
      <c r="F535" t="s">
        <v>1996</v>
      </c>
      <c r="G535" t="s">
        <v>2001</v>
      </c>
      <c r="H535">
        <v>4</v>
      </c>
      <c r="I535">
        <v>114</v>
      </c>
      <c r="J535">
        <v>456</v>
      </c>
      <c r="K535">
        <f t="shared" si="8"/>
        <v>1</v>
      </c>
    </row>
    <row r="536" spans="1:11" x14ac:dyDescent="0.3">
      <c r="A536" t="s">
        <v>544</v>
      </c>
      <c r="B536" s="1">
        <v>45403</v>
      </c>
      <c r="C536" t="s">
        <v>1263</v>
      </c>
      <c r="D536" t="s">
        <v>1683</v>
      </c>
      <c r="E536" t="s">
        <v>1991</v>
      </c>
      <c r="F536" t="s">
        <v>1992</v>
      </c>
      <c r="G536" t="s">
        <v>1998</v>
      </c>
      <c r="H536">
        <v>3</v>
      </c>
      <c r="I536">
        <v>402</v>
      </c>
      <c r="J536">
        <v>1206</v>
      </c>
      <c r="K536">
        <f t="shared" si="8"/>
        <v>1</v>
      </c>
    </row>
    <row r="537" spans="1:11" x14ac:dyDescent="0.3">
      <c r="A537" t="s">
        <v>545</v>
      </c>
      <c r="B537" s="1">
        <v>45411</v>
      </c>
      <c r="C537" t="s">
        <v>1059</v>
      </c>
      <c r="D537" t="s">
        <v>1796</v>
      </c>
      <c r="E537" t="s">
        <v>1991</v>
      </c>
      <c r="F537" t="s">
        <v>1996</v>
      </c>
      <c r="G537" t="s">
        <v>1997</v>
      </c>
      <c r="H537">
        <v>5</v>
      </c>
      <c r="I537">
        <v>218</v>
      </c>
      <c r="J537">
        <v>1090</v>
      </c>
      <c r="K537">
        <f t="shared" si="8"/>
        <v>2</v>
      </c>
    </row>
    <row r="538" spans="1:11" x14ac:dyDescent="0.3">
      <c r="A538" t="s">
        <v>546</v>
      </c>
      <c r="B538" s="1">
        <v>45458</v>
      </c>
      <c r="C538" t="s">
        <v>1254</v>
      </c>
      <c r="D538" t="s">
        <v>1929</v>
      </c>
      <c r="E538" t="s">
        <v>1991</v>
      </c>
      <c r="F538" t="s">
        <v>1999</v>
      </c>
      <c r="G538" t="s">
        <v>2002</v>
      </c>
      <c r="H538">
        <v>3</v>
      </c>
      <c r="I538">
        <v>33</v>
      </c>
      <c r="J538">
        <v>99</v>
      </c>
      <c r="K538">
        <f t="shared" si="8"/>
        <v>2</v>
      </c>
    </row>
    <row r="539" spans="1:11" x14ac:dyDescent="0.3">
      <c r="A539" t="s">
        <v>547</v>
      </c>
      <c r="B539" s="1">
        <v>45477</v>
      </c>
      <c r="C539" t="s">
        <v>1202</v>
      </c>
      <c r="D539" t="s">
        <v>1515</v>
      </c>
      <c r="E539" t="s">
        <v>1991</v>
      </c>
      <c r="F539" t="s">
        <v>1999</v>
      </c>
      <c r="G539" t="s">
        <v>2002</v>
      </c>
      <c r="H539">
        <v>5</v>
      </c>
      <c r="I539">
        <v>16</v>
      </c>
      <c r="J539">
        <v>80</v>
      </c>
      <c r="K539">
        <f t="shared" si="8"/>
        <v>3</v>
      </c>
    </row>
    <row r="540" spans="1:11" x14ac:dyDescent="0.3">
      <c r="A540" t="s">
        <v>548</v>
      </c>
      <c r="B540" s="1">
        <v>45529</v>
      </c>
      <c r="C540" t="s">
        <v>1083</v>
      </c>
      <c r="D540" t="s">
        <v>1772</v>
      </c>
      <c r="E540" t="s">
        <v>1991</v>
      </c>
      <c r="F540" t="s">
        <v>1999</v>
      </c>
      <c r="G540" t="s">
        <v>2000</v>
      </c>
      <c r="H540">
        <v>2</v>
      </c>
      <c r="I540">
        <v>18</v>
      </c>
      <c r="J540">
        <v>36</v>
      </c>
      <c r="K540">
        <f t="shared" si="8"/>
        <v>1</v>
      </c>
    </row>
    <row r="541" spans="1:11" x14ac:dyDescent="0.3">
      <c r="A541" t="s">
        <v>549</v>
      </c>
      <c r="B541" s="1">
        <v>45313</v>
      </c>
      <c r="C541" t="s">
        <v>1137</v>
      </c>
      <c r="D541" t="s">
        <v>1514</v>
      </c>
      <c r="E541" t="s">
        <v>1991</v>
      </c>
      <c r="F541" t="s">
        <v>1992</v>
      </c>
      <c r="G541" t="s">
        <v>1995</v>
      </c>
      <c r="H541">
        <v>1</v>
      </c>
      <c r="I541">
        <v>335</v>
      </c>
      <c r="J541">
        <v>335</v>
      </c>
      <c r="K541">
        <f t="shared" si="8"/>
        <v>4</v>
      </c>
    </row>
    <row r="542" spans="1:11" x14ac:dyDescent="0.3">
      <c r="A542" t="s">
        <v>550</v>
      </c>
      <c r="B542" s="1">
        <v>45303</v>
      </c>
      <c r="C542" t="s">
        <v>1229</v>
      </c>
      <c r="D542" t="s">
        <v>1835</v>
      </c>
      <c r="E542" t="s">
        <v>1991</v>
      </c>
      <c r="F542" t="s">
        <v>1992</v>
      </c>
      <c r="G542" t="s">
        <v>1993</v>
      </c>
      <c r="H542">
        <v>5</v>
      </c>
      <c r="I542">
        <v>383</v>
      </c>
      <c r="J542">
        <v>1915</v>
      </c>
      <c r="K542">
        <f t="shared" si="8"/>
        <v>2</v>
      </c>
    </row>
    <row r="543" spans="1:11" x14ac:dyDescent="0.3">
      <c r="A543" t="s">
        <v>551</v>
      </c>
      <c r="B543" s="1">
        <v>45415</v>
      </c>
      <c r="C543" t="s">
        <v>1489</v>
      </c>
      <c r="D543" t="s">
        <v>1581</v>
      </c>
      <c r="E543" t="s">
        <v>1991</v>
      </c>
      <c r="F543" t="s">
        <v>1992</v>
      </c>
      <c r="G543" t="s">
        <v>1998</v>
      </c>
      <c r="H543">
        <v>4</v>
      </c>
      <c r="I543">
        <v>242</v>
      </c>
      <c r="J543">
        <v>968</v>
      </c>
      <c r="K543">
        <f t="shared" si="8"/>
        <v>1</v>
      </c>
    </row>
    <row r="544" spans="1:11" x14ac:dyDescent="0.3">
      <c r="A544" t="s">
        <v>552</v>
      </c>
      <c r="B544" s="1">
        <v>45303</v>
      </c>
      <c r="C544" t="s">
        <v>1189</v>
      </c>
      <c r="D544" t="s">
        <v>1530</v>
      </c>
      <c r="E544" t="s">
        <v>1991</v>
      </c>
      <c r="F544" t="s">
        <v>1992</v>
      </c>
      <c r="G544" t="s">
        <v>1995</v>
      </c>
      <c r="H544">
        <v>5</v>
      </c>
      <c r="I544">
        <v>455</v>
      </c>
      <c r="J544">
        <v>2275</v>
      </c>
      <c r="K544">
        <f t="shared" si="8"/>
        <v>1</v>
      </c>
    </row>
    <row r="545" spans="1:11" x14ac:dyDescent="0.3">
      <c r="A545" t="s">
        <v>553</v>
      </c>
      <c r="B545" s="1">
        <v>45496</v>
      </c>
      <c r="C545" t="s">
        <v>1486</v>
      </c>
      <c r="D545" t="s">
        <v>1724</v>
      </c>
      <c r="E545" t="s">
        <v>1994</v>
      </c>
      <c r="F545" t="s">
        <v>1992</v>
      </c>
      <c r="G545" t="s">
        <v>1995</v>
      </c>
      <c r="H545">
        <v>3</v>
      </c>
      <c r="I545">
        <v>478</v>
      </c>
      <c r="J545">
        <v>1434</v>
      </c>
      <c r="K545">
        <f t="shared" si="8"/>
        <v>1</v>
      </c>
    </row>
    <row r="546" spans="1:11" x14ac:dyDescent="0.3">
      <c r="A546" t="s">
        <v>554</v>
      </c>
      <c r="B546" s="1">
        <v>45295</v>
      </c>
      <c r="C546" t="s">
        <v>1280</v>
      </c>
      <c r="D546" t="s">
        <v>1830</v>
      </c>
      <c r="E546" t="s">
        <v>1994</v>
      </c>
      <c r="F546" t="s">
        <v>1992</v>
      </c>
      <c r="G546" t="s">
        <v>1998</v>
      </c>
      <c r="H546">
        <v>2</v>
      </c>
      <c r="I546">
        <v>278</v>
      </c>
      <c r="J546">
        <v>556</v>
      </c>
      <c r="K546">
        <f t="shared" si="8"/>
        <v>2</v>
      </c>
    </row>
    <row r="547" spans="1:11" x14ac:dyDescent="0.3">
      <c r="A547" t="s">
        <v>555</v>
      </c>
      <c r="B547" s="1">
        <v>45402</v>
      </c>
      <c r="C547" t="s">
        <v>1011</v>
      </c>
      <c r="D547" t="s">
        <v>1615</v>
      </c>
      <c r="E547" t="s">
        <v>1991</v>
      </c>
      <c r="F547" t="s">
        <v>1996</v>
      </c>
      <c r="G547" t="s">
        <v>2004</v>
      </c>
      <c r="H547">
        <v>2</v>
      </c>
      <c r="I547">
        <v>123</v>
      </c>
      <c r="J547">
        <v>246</v>
      </c>
      <c r="K547">
        <f t="shared" si="8"/>
        <v>1</v>
      </c>
    </row>
    <row r="548" spans="1:11" x14ac:dyDescent="0.3">
      <c r="A548" t="s">
        <v>556</v>
      </c>
      <c r="B548" s="1">
        <v>45416</v>
      </c>
      <c r="C548" t="s">
        <v>1077</v>
      </c>
      <c r="D548" t="s">
        <v>1668</v>
      </c>
      <c r="E548" t="s">
        <v>1991</v>
      </c>
      <c r="F548" t="s">
        <v>1996</v>
      </c>
      <c r="G548" t="s">
        <v>1997</v>
      </c>
      <c r="H548">
        <v>1</v>
      </c>
      <c r="I548">
        <v>210</v>
      </c>
      <c r="J548">
        <v>210</v>
      </c>
      <c r="K548">
        <f t="shared" si="8"/>
        <v>5</v>
      </c>
    </row>
    <row r="549" spans="1:11" x14ac:dyDescent="0.3">
      <c r="A549" t="s">
        <v>557</v>
      </c>
      <c r="B549" s="1">
        <v>45453</v>
      </c>
      <c r="C549" t="s">
        <v>1244</v>
      </c>
      <c r="D549" t="s">
        <v>1903</v>
      </c>
      <c r="E549" t="s">
        <v>1991</v>
      </c>
      <c r="F549" t="s">
        <v>1996</v>
      </c>
      <c r="G549" t="s">
        <v>2001</v>
      </c>
      <c r="H549">
        <v>4</v>
      </c>
      <c r="I549">
        <v>267</v>
      </c>
      <c r="J549">
        <v>1068</v>
      </c>
      <c r="K549">
        <f t="shared" si="8"/>
        <v>2</v>
      </c>
    </row>
    <row r="550" spans="1:11" x14ac:dyDescent="0.3">
      <c r="A550" t="s">
        <v>558</v>
      </c>
      <c r="B550" s="1">
        <v>45316</v>
      </c>
      <c r="C550" t="s">
        <v>1451</v>
      </c>
      <c r="D550" t="s">
        <v>1545</v>
      </c>
      <c r="E550" t="s">
        <v>1994</v>
      </c>
      <c r="F550" t="s">
        <v>1992</v>
      </c>
      <c r="G550" t="s">
        <v>1995</v>
      </c>
      <c r="H550">
        <v>3</v>
      </c>
      <c r="I550">
        <v>471</v>
      </c>
      <c r="J550">
        <v>1413</v>
      </c>
      <c r="K550">
        <f t="shared" si="8"/>
        <v>1</v>
      </c>
    </row>
    <row r="551" spans="1:11" x14ac:dyDescent="0.3">
      <c r="A551" t="s">
        <v>559</v>
      </c>
      <c r="B551" s="1">
        <v>45539</v>
      </c>
      <c r="C551" t="s">
        <v>1399</v>
      </c>
      <c r="D551" t="s">
        <v>1892</v>
      </c>
      <c r="E551" t="s">
        <v>1991</v>
      </c>
      <c r="F551" t="s">
        <v>1999</v>
      </c>
      <c r="G551" t="s">
        <v>2000</v>
      </c>
      <c r="H551">
        <v>2</v>
      </c>
      <c r="I551">
        <v>35</v>
      </c>
      <c r="J551">
        <v>70</v>
      </c>
      <c r="K551">
        <f t="shared" si="8"/>
        <v>2</v>
      </c>
    </row>
    <row r="552" spans="1:11" x14ac:dyDescent="0.3">
      <c r="A552" t="s">
        <v>560</v>
      </c>
      <c r="B552" s="1">
        <v>45373</v>
      </c>
      <c r="C552" t="s">
        <v>1278</v>
      </c>
      <c r="D552" t="s">
        <v>1626</v>
      </c>
      <c r="E552" t="s">
        <v>1991</v>
      </c>
      <c r="F552" t="s">
        <v>1996</v>
      </c>
      <c r="G552" t="s">
        <v>2001</v>
      </c>
      <c r="H552">
        <v>2</v>
      </c>
      <c r="I552">
        <v>202</v>
      </c>
      <c r="J552">
        <v>404</v>
      </c>
      <c r="K552">
        <f t="shared" si="8"/>
        <v>1</v>
      </c>
    </row>
    <row r="553" spans="1:11" x14ac:dyDescent="0.3">
      <c r="A553" t="s">
        <v>561</v>
      </c>
      <c r="B553" s="1">
        <v>45295</v>
      </c>
      <c r="C553" t="s">
        <v>1454</v>
      </c>
      <c r="D553" t="s">
        <v>1753</v>
      </c>
      <c r="E553" t="s">
        <v>1994</v>
      </c>
      <c r="F553" t="s">
        <v>1992</v>
      </c>
      <c r="G553" t="s">
        <v>1998</v>
      </c>
      <c r="H553">
        <v>5</v>
      </c>
      <c r="I553">
        <v>254</v>
      </c>
      <c r="J553">
        <v>1270</v>
      </c>
      <c r="K553">
        <f t="shared" si="8"/>
        <v>1</v>
      </c>
    </row>
    <row r="554" spans="1:11" x14ac:dyDescent="0.3">
      <c r="A554" t="s">
        <v>562</v>
      </c>
      <c r="B554" s="1">
        <v>45377</v>
      </c>
      <c r="C554" t="s">
        <v>1294</v>
      </c>
      <c r="D554" t="s">
        <v>1846</v>
      </c>
      <c r="E554" t="s">
        <v>1994</v>
      </c>
      <c r="F554" t="s">
        <v>1996</v>
      </c>
      <c r="G554" t="s">
        <v>2004</v>
      </c>
      <c r="H554">
        <v>4</v>
      </c>
      <c r="I554">
        <v>240</v>
      </c>
      <c r="J554">
        <v>960</v>
      </c>
      <c r="K554">
        <f t="shared" si="8"/>
        <v>3</v>
      </c>
    </row>
    <row r="555" spans="1:11" x14ac:dyDescent="0.3">
      <c r="A555" t="s">
        <v>563</v>
      </c>
      <c r="B555" s="1">
        <v>45439</v>
      </c>
      <c r="C555" t="s">
        <v>1270</v>
      </c>
      <c r="D555" t="s">
        <v>1623</v>
      </c>
      <c r="E555" t="s">
        <v>1994</v>
      </c>
      <c r="F555" t="s">
        <v>1996</v>
      </c>
      <c r="G555" t="s">
        <v>2004</v>
      </c>
      <c r="H555">
        <v>1</v>
      </c>
      <c r="I555">
        <v>230</v>
      </c>
      <c r="J555">
        <v>230</v>
      </c>
      <c r="K555">
        <f t="shared" si="8"/>
        <v>1</v>
      </c>
    </row>
    <row r="556" spans="1:11" x14ac:dyDescent="0.3">
      <c r="A556" t="s">
        <v>564</v>
      </c>
      <c r="B556" s="1">
        <v>45479</v>
      </c>
      <c r="C556" t="s">
        <v>1413</v>
      </c>
      <c r="D556" t="s">
        <v>1883</v>
      </c>
      <c r="E556" t="s">
        <v>1994</v>
      </c>
      <c r="F556" t="s">
        <v>1999</v>
      </c>
      <c r="G556" t="s">
        <v>2003</v>
      </c>
      <c r="H556">
        <v>3</v>
      </c>
      <c r="I556">
        <v>32</v>
      </c>
      <c r="J556">
        <v>96</v>
      </c>
      <c r="K556">
        <f t="shared" si="8"/>
        <v>2</v>
      </c>
    </row>
    <row r="557" spans="1:11" x14ac:dyDescent="0.3">
      <c r="A557" t="s">
        <v>565</v>
      </c>
      <c r="B557" s="1">
        <v>45500</v>
      </c>
      <c r="C557" t="s">
        <v>1127</v>
      </c>
      <c r="D557" t="s">
        <v>1932</v>
      </c>
      <c r="E557" t="s">
        <v>1991</v>
      </c>
      <c r="F557" t="s">
        <v>1996</v>
      </c>
      <c r="G557" t="s">
        <v>2004</v>
      </c>
      <c r="H557">
        <v>5</v>
      </c>
      <c r="I557">
        <v>194</v>
      </c>
      <c r="J557">
        <v>970</v>
      </c>
      <c r="K557">
        <f t="shared" si="8"/>
        <v>2</v>
      </c>
    </row>
    <row r="558" spans="1:11" x14ac:dyDescent="0.3">
      <c r="A558" t="s">
        <v>566</v>
      </c>
      <c r="B558" s="1">
        <v>45526</v>
      </c>
      <c r="C558" t="s">
        <v>1275</v>
      </c>
      <c r="D558" t="s">
        <v>1774</v>
      </c>
      <c r="E558" t="s">
        <v>1991</v>
      </c>
      <c r="F558" t="s">
        <v>1999</v>
      </c>
      <c r="G558" t="s">
        <v>2000</v>
      </c>
      <c r="H558">
        <v>1</v>
      </c>
      <c r="I558">
        <v>28</v>
      </c>
      <c r="J558">
        <v>28</v>
      </c>
      <c r="K558">
        <f t="shared" si="8"/>
        <v>1</v>
      </c>
    </row>
    <row r="559" spans="1:11" x14ac:dyDescent="0.3">
      <c r="A559" t="s">
        <v>567</v>
      </c>
      <c r="B559" s="1">
        <v>45413</v>
      </c>
      <c r="C559" t="s">
        <v>1452</v>
      </c>
      <c r="D559" t="s">
        <v>1862</v>
      </c>
      <c r="E559" t="s">
        <v>1991</v>
      </c>
      <c r="F559" t="s">
        <v>1999</v>
      </c>
      <c r="G559" t="s">
        <v>2002</v>
      </c>
      <c r="H559">
        <v>5</v>
      </c>
      <c r="I559">
        <v>18</v>
      </c>
      <c r="J559">
        <v>90</v>
      </c>
      <c r="K559">
        <f t="shared" si="8"/>
        <v>3</v>
      </c>
    </row>
    <row r="560" spans="1:11" x14ac:dyDescent="0.3">
      <c r="A560" t="s">
        <v>568</v>
      </c>
      <c r="B560" s="1">
        <v>45429</v>
      </c>
      <c r="C560" t="s">
        <v>1186</v>
      </c>
      <c r="D560" t="s">
        <v>1778</v>
      </c>
      <c r="E560" t="s">
        <v>1994</v>
      </c>
      <c r="F560" t="s">
        <v>1996</v>
      </c>
      <c r="G560" t="s">
        <v>1997</v>
      </c>
      <c r="H560">
        <v>5</v>
      </c>
      <c r="I560">
        <v>232</v>
      </c>
      <c r="J560">
        <v>1160</v>
      </c>
      <c r="K560">
        <f t="shared" si="8"/>
        <v>3</v>
      </c>
    </row>
    <row r="561" spans="1:11" x14ac:dyDescent="0.3">
      <c r="A561" t="s">
        <v>569</v>
      </c>
      <c r="B561" s="1">
        <v>45407</v>
      </c>
      <c r="C561" t="s">
        <v>1216</v>
      </c>
      <c r="D561" t="s">
        <v>1807</v>
      </c>
      <c r="E561" t="s">
        <v>1994</v>
      </c>
      <c r="F561" t="s">
        <v>1999</v>
      </c>
      <c r="G561" t="s">
        <v>2002</v>
      </c>
      <c r="H561">
        <v>2</v>
      </c>
      <c r="I561">
        <v>41</v>
      </c>
      <c r="J561">
        <v>82</v>
      </c>
      <c r="K561">
        <f t="shared" si="8"/>
        <v>2</v>
      </c>
    </row>
    <row r="562" spans="1:11" x14ac:dyDescent="0.3">
      <c r="A562" t="s">
        <v>570</v>
      </c>
      <c r="B562" s="1">
        <v>45443</v>
      </c>
      <c r="C562" t="s">
        <v>1309</v>
      </c>
      <c r="D562" t="s">
        <v>1535</v>
      </c>
      <c r="E562" t="s">
        <v>1991</v>
      </c>
      <c r="F562" t="s">
        <v>1992</v>
      </c>
      <c r="G562" t="s">
        <v>1998</v>
      </c>
      <c r="H562">
        <v>4</v>
      </c>
      <c r="I562">
        <v>315</v>
      </c>
      <c r="J562">
        <v>1260</v>
      </c>
      <c r="K562">
        <f t="shared" si="8"/>
        <v>1</v>
      </c>
    </row>
    <row r="563" spans="1:11" x14ac:dyDescent="0.3">
      <c r="A563" t="s">
        <v>571</v>
      </c>
      <c r="B563" s="1">
        <v>45406</v>
      </c>
      <c r="C563" t="s">
        <v>1096</v>
      </c>
      <c r="D563" t="s">
        <v>1865</v>
      </c>
      <c r="E563" t="s">
        <v>1994</v>
      </c>
      <c r="F563" t="s">
        <v>1999</v>
      </c>
      <c r="G563" t="s">
        <v>2003</v>
      </c>
      <c r="H563">
        <v>3</v>
      </c>
      <c r="I563">
        <v>14</v>
      </c>
      <c r="J563">
        <v>42</v>
      </c>
      <c r="K563">
        <f t="shared" si="8"/>
        <v>2</v>
      </c>
    </row>
    <row r="564" spans="1:11" x14ac:dyDescent="0.3">
      <c r="A564" t="s">
        <v>572</v>
      </c>
      <c r="B564" s="1">
        <v>45488</v>
      </c>
      <c r="C564" t="s">
        <v>1131</v>
      </c>
      <c r="D564" t="s">
        <v>1765</v>
      </c>
      <c r="E564" t="s">
        <v>1991</v>
      </c>
      <c r="F564" t="s">
        <v>1999</v>
      </c>
      <c r="G564" t="s">
        <v>2002</v>
      </c>
      <c r="H564">
        <v>5</v>
      </c>
      <c r="I564">
        <v>40</v>
      </c>
      <c r="J564">
        <v>200</v>
      </c>
      <c r="K564">
        <f t="shared" si="8"/>
        <v>1</v>
      </c>
    </row>
    <row r="565" spans="1:11" x14ac:dyDescent="0.3">
      <c r="A565" t="s">
        <v>573</v>
      </c>
      <c r="B565" s="1">
        <v>45501</v>
      </c>
      <c r="C565" t="s">
        <v>1018</v>
      </c>
      <c r="D565" t="s">
        <v>1860</v>
      </c>
      <c r="E565" t="s">
        <v>1994</v>
      </c>
      <c r="F565" t="s">
        <v>1999</v>
      </c>
      <c r="G565" t="s">
        <v>2000</v>
      </c>
      <c r="H565">
        <v>4</v>
      </c>
      <c r="I565">
        <v>26</v>
      </c>
      <c r="J565">
        <v>104</v>
      </c>
      <c r="K565">
        <f t="shared" si="8"/>
        <v>3</v>
      </c>
    </row>
    <row r="566" spans="1:11" x14ac:dyDescent="0.3">
      <c r="A566" t="s">
        <v>574</v>
      </c>
      <c r="B566" s="1">
        <v>45430</v>
      </c>
      <c r="C566" t="s">
        <v>1215</v>
      </c>
      <c r="D566" t="s">
        <v>1514</v>
      </c>
      <c r="E566" t="s">
        <v>1991</v>
      </c>
      <c r="F566" t="s">
        <v>1996</v>
      </c>
      <c r="G566" t="s">
        <v>2004</v>
      </c>
      <c r="H566">
        <v>5</v>
      </c>
      <c r="I566">
        <v>172</v>
      </c>
      <c r="J566">
        <v>860</v>
      </c>
      <c r="K566">
        <f t="shared" si="8"/>
        <v>2</v>
      </c>
    </row>
    <row r="567" spans="1:11" x14ac:dyDescent="0.3">
      <c r="A567" t="s">
        <v>575</v>
      </c>
      <c r="B567" s="1">
        <v>45422</v>
      </c>
      <c r="C567" t="s">
        <v>1303</v>
      </c>
      <c r="D567" t="s">
        <v>1709</v>
      </c>
      <c r="E567" t="s">
        <v>1991</v>
      </c>
      <c r="F567" t="s">
        <v>1996</v>
      </c>
      <c r="G567" t="s">
        <v>2004</v>
      </c>
      <c r="H567">
        <v>1</v>
      </c>
      <c r="I567">
        <v>229</v>
      </c>
      <c r="J567">
        <v>229</v>
      </c>
      <c r="K567">
        <f t="shared" si="8"/>
        <v>1</v>
      </c>
    </row>
    <row r="568" spans="1:11" x14ac:dyDescent="0.3">
      <c r="A568" t="s">
        <v>576</v>
      </c>
      <c r="B568" s="1">
        <v>45311</v>
      </c>
      <c r="C568" t="s">
        <v>1197</v>
      </c>
      <c r="D568" t="s">
        <v>1741</v>
      </c>
      <c r="E568" t="s">
        <v>1994</v>
      </c>
      <c r="F568" t="s">
        <v>1999</v>
      </c>
      <c r="G568" t="s">
        <v>2000</v>
      </c>
      <c r="H568">
        <v>1</v>
      </c>
      <c r="I568">
        <v>42</v>
      </c>
      <c r="J568">
        <v>42</v>
      </c>
      <c r="K568">
        <f t="shared" si="8"/>
        <v>4</v>
      </c>
    </row>
    <row r="569" spans="1:11" x14ac:dyDescent="0.3">
      <c r="A569" t="s">
        <v>577</v>
      </c>
      <c r="B569" s="1">
        <v>45292</v>
      </c>
      <c r="C569" t="s">
        <v>1202</v>
      </c>
      <c r="D569" t="s">
        <v>1723</v>
      </c>
      <c r="E569" t="s">
        <v>1991</v>
      </c>
      <c r="F569" t="s">
        <v>1999</v>
      </c>
      <c r="G569" t="s">
        <v>2002</v>
      </c>
      <c r="H569">
        <v>2</v>
      </c>
      <c r="I569">
        <v>30</v>
      </c>
      <c r="J569">
        <v>60</v>
      </c>
      <c r="K569">
        <f t="shared" si="8"/>
        <v>2</v>
      </c>
    </row>
    <row r="570" spans="1:11" x14ac:dyDescent="0.3">
      <c r="A570" t="s">
        <v>578</v>
      </c>
      <c r="B570" s="1">
        <v>45370</v>
      </c>
      <c r="C570" t="s">
        <v>1097</v>
      </c>
      <c r="D570" t="s">
        <v>1607</v>
      </c>
      <c r="E570" t="s">
        <v>1994</v>
      </c>
      <c r="F570" t="s">
        <v>1996</v>
      </c>
      <c r="G570" t="s">
        <v>2004</v>
      </c>
      <c r="H570">
        <v>3</v>
      </c>
      <c r="I570">
        <v>182</v>
      </c>
      <c r="J570">
        <v>546</v>
      </c>
      <c r="K570">
        <f t="shared" si="8"/>
        <v>2</v>
      </c>
    </row>
    <row r="571" spans="1:11" x14ac:dyDescent="0.3">
      <c r="A571" t="s">
        <v>579</v>
      </c>
      <c r="B571" s="1">
        <v>45377</v>
      </c>
      <c r="C571" t="s">
        <v>1137</v>
      </c>
      <c r="D571" t="s">
        <v>1861</v>
      </c>
      <c r="E571" t="s">
        <v>1991</v>
      </c>
      <c r="F571" t="s">
        <v>1996</v>
      </c>
      <c r="G571" t="s">
        <v>1997</v>
      </c>
      <c r="H571">
        <v>2</v>
      </c>
      <c r="I571">
        <v>191</v>
      </c>
      <c r="J571">
        <v>382</v>
      </c>
      <c r="K571">
        <f t="shared" si="8"/>
        <v>3</v>
      </c>
    </row>
    <row r="572" spans="1:11" x14ac:dyDescent="0.3">
      <c r="A572" t="s">
        <v>580</v>
      </c>
      <c r="B572" s="1">
        <v>45321</v>
      </c>
      <c r="C572" t="s">
        <v>1306</v>
      </c>
      <c r="D572" t="s">
        <v>1829</v>
      </c>
      <c r="E572" t="s">
        <v>1994</v>
      </c>
      <c r="F572" t="s">
        <v>1996</v>
      </c>
      <c r="G572" t="s">
        <v>2004</v>
      </c>
      <c r="H572">
        <v>2</v>
      </c>
      <c r="I572">
        <v>166</v>
      </c>
      <c r="J572">
        <v>332</v>
      </c>
      <c r="K572">
        <f t="shared" si="8"/>
        <v>2</v>
      </c>
    </row>
    <row r="573" spans="1:11" x14ac:dyDescent="0.3">
      <c r="A573" t="s">
        <v>581</v>
      </c>
      <c r="B573" s="1">
        <v>45299</v>
      </c>
      <c r="C573" t="s">
        <v>1127</v>
      </c>
      <c r="D573" t="s">
        <v>1852</v>
      </c>
      <c r="E573" t="s">
        <v>1991</v>
      </c>
      <c r="F573" t="s">
        <v>1996</v>
      </c>
      <c r="G573" t="s">
        <v>2004</v>
      </c>
      <c r="H573">
        <v>5</v>
      </c>
      <c r="I573">
        <v>162</v>
      </c>
      <c r="J573">
        <v>810</v>
      </c>
      <c r="K573">
        <f t="shared" si="8"/>
        <v>1</v>
      </c>
    </row>
    <row r="574" spans="1:11" x14ac:dyDescent="0.3">
      <c r="A574" t="s">
        <v>582</v>
      </c>
      <c r="B574" s="1">
        <v>45347</v>
      </c>
      <c r="C574" t="s">
        <v>1075</v>
      </c>
      <c r="D574" t="s">
        <v>1770</v>
      </c>
      <c r="E574" t="s">
        <v>1991</v>
      </c>
      <c r="F574" t="s">
        <v>1999</v>
      </c>
      <c r="G574" t="s">
        <v>2002</v>
      </c>
      <c r="H574">
        <v>2</v>
      </c>
      <c r="I574">
        <v>39</v>
      </c>
      <c r="J574">
        <v>78</v>
      </c>
      <c r="K574">
        <f t="shared" si="8"/>
        <v>2</v>
      </c>
    </row>
    <row r="575" spans="1:11" x14ac:dyDescent="0.3">
      <c r="A575" t="s">
        <v>583</v>
      </c>
      <c r="B575" s="1">
        <v>45373</v>
      </c>
      <c r="C575" t="s">
        <v>1098</v>
      </c>
      <c r="D575" t="s">
        <v>1543</v>
      </c>
      <c r="E575" t="s">
        <v>1994</v>
      </c>
      <c r="F575" t="s">
        <v>1992</v>
      </c>
      <c r="G575" t="s">
        <v>1993</v>
      </c>
      <c r="H575">
        <v>2</v>
      </c>
      <c r="I575">
        <v>430</v>
      </c>
      <c r="J575">
        <v>860</v>
      </c>
      <c r="K575">
        <f t="shared" si="8"/>
        <v>1</v>
      </c>
    </row>
    <row r="576" spans="1:11" x14ac:dyDescent="0.3">
      <c r="A576" t="s">
        <v>584</v>
      </c>
      <c r="B576" s="1">
        <v>45313</v>
      </c>
      <c r="C576" t="s">
        <v>1114</v>
      </c>
      <c r="D576" t="s">
        <v>1918</v>
      </c>
      <c r="E576" t="s">
        <v>1994</v>
      </c>
      <c r="F576" t="s">
        <v>1996</v>
      </c>
      <c r="G576" t="s">
        <v>2004</v>
      </c>
      <c r="H576">
        <v>5</v>
      </c>
      <c r="I576">
        <v>292</v>
      </c>
      <c r="J576">
        <v>1460</v>
      </c>
      <c r="K576">
        <f t="shared" si="8"/>
        <v>1</v>
      </c>
    </row>
    <row r="577" spans="1:11" x14ac:dyDescent="0.3">
      <c r="A577" t="s">
        <v>585</v>
      </c>
      <c r="B577" s="1">
        <v>45342</v>
      </c>
      <c r="C577" t="s">
        <v>1018</v>
      </c>
      <c r="D577" t="s">
        <v>1960</v>
      </c>
      <c r="E577" t="s">
        <v>1991</v>
      </c>
      <c r="F577" t="s">
        <v>1999</v>
      </c>
      <c r="G577" t="s">
        <v>2003</v>
      </c>
      <c r="H577">
        <v>5</v>
      </c>
      <c r="I577">
        <v>17</v>
      </c>
      <c r="J577">
        <v>85</v>
      </c>
      <c r="K577">
        <f t="shared" si="8"/>
        <v>2</v>
      </c>
    </row>
    <row r="578" spans="1:11" x14ac:dyDescent="0.3">
      <c r="A578" t="s">
        <v>586</v>
      </c>
      <c r="B578" s="1">
        <v>45402</v>
      </c>
      <c r="C578" t="s">
        <v>1364</v>
      </c>
      <c r="D578" t="s">
        <v>1516</v>
      </c>
      <c r="E578" t="s">
        <v>1991</v>
      </c>
      <c r="F578" t="s">
        <v>1992</v>
      </c>
      <c r="G578" t="s">
        <v>1995</v>
      </c>
      <c r="H578">
        <v>1</v>
      </c>
      <c r="I578">
        <v>371</v>
      </c>
      <c r="J578">
        <v>371</v>
      </c>
      <c r="K578">
        <f t="shared" si="8"/>
        <v>1</v>
      </c>
    </row>
    <row r="579" spans="1:11" x14ac:dyDescent="0.3">
      <c r="A579" t="s">
        <v>587</v>
      </c>
      <c r="B579" s="1">
        <v>45407</v>
      </c>
      <c r="C579" t="s">
        <v>1010</v>
      </c>
      <c r="D579" t="s">
        <v>1591</v>
      </c>
      <c r="E579" t="s">
        <v>1994</v>
      </c>
      <c r="F579" t="s">
        <v>1996</v>
      </c>
      <c r="G579" t="s">
        <v>2004</v>
      </c>
      <c r="H579">
        <v>3</v>
      </c>
      <c r="I579">
        <v>213</v>
      </c>
      <c r="J579">
        <v>639</v>
      </c>
      <c r="K579">
        <f t="shared" ref="K579:K642" si="9">COUNTIF(C579:C1578,C579)</f>
        <v>2</v>
      </c>
    </row>
    <row r="580" spans="1:11" x14ac:dyDescent="0.3">
      <c r="A580" t="s">
        <v>588</v>
      </c>
      <c r="B580" s="1">
        <v>45392</v>
      </c>
      <c r="C580" t="s">
        <v>1187</v>
      </c>
      <c r="D580" t="s">
        <v>1894</v>
      </c>
      <c r="E580" t="s">
        <v>1991</v>
      </c>
      <c r="F580" t="s">
        <v>1996</v>
      </c>
      <c r="G580" t="s">
        <v>2004</v>
      </c>
      <c r="H580">
        <v>5</v>
      </c>
      <c r="I580">
        <v>289</v>
      </c>
      <c r="J580">
        <v>1445</v>
      </c>
      <c r="K580">
        <f t="shared" si="9"/>
        <v>1</v>
      </c>
    </row>
    <row r="581" spans="1:11" x14ac:dyDescent="0.3">
      <c r="A581" t="s">
        <v>589</v>
      </c>
      <c r="B581" s="1">
        <v>45460</v>
      </c>
      <c r="C581" t="s">
        <v>1409</v>
      </c>
      <c r="D581" t="s">
        <v>1966</v>
      </c>
      <c r="E581" t="s">
        <v>1991</v>
      </c>
      <c r="F581" t="s">
        <v>1996</v>
      </c>
      <c r="G581" t="s">
        <v>1997</v>
      </c>
      <c r="H581">
        <v>1</v>
      </c>
      <c r="I581">
        <v>155</v>
      </c>
      <c r="J581">
        <v>155</v>
      </c>
      <c r="K581">
        <f t="shared" si="9"/>
        <v>3</v>
      </c>
    </row>
    <row r="582" spans="1:11" x14ac:dyDescent="0.3">
      <c r="A582" t="s">
        <v>590</v>
      </c>
      <c r="B582" s="1">
        <v>45417</v>
      </c>
      <c r="C582" t="s">
        <v>1382</v>
      </c>
      <c r="D582" t="s">
        <v>1624</v>
      </c>
      <c r="E582" t="s">
        <v>1991</v>
      </c>
      <c r="F582" t="s">
        <v>1992</v>
      </c>
      <c r="G582" t="s">
        <v>1998</v>
      </c>
      <c r="H582">
        <v>4</v>
      </c>
      <c r="I582">
        <v>253</v>
      </c>
      <c r="J582">
        <v>1012</v>
      </c>
      <c r="K582">
        <f t="shared" si="9"/>
        <v>1</v>
      </c>
    </row>
    <row r="583" spans="1:11" x14ac:dyDescent="0.3">
      <c r="A583" t="s">
        <v>591</v>
      </c>
      <c r="B583" s="1">
        <v>45499</v>
      </c>
      <c r="C583" t="s">
        <v>1408</v>
      </c>
      <c r="D583" t="s">
        <v>1559</v>
      </c>
      <c r="E583" t="s">
        <v>1991</v>
      </c>
      <c r="F583" t="s">
        <v>1992</v>
      </c>
      <c r="G583" t="s">
        <v>1995</v>
      </c>
      <c r="H583">
        <v>5</v>
      </c>
      <c r="I583">
        <v>380</v>
      </c>
      <c r="J583">
        <v>1900</v>
      </c>
      <c r="K583">
        <f t="shared" si="9"/>
        <v>1</v>
      </c>
    </row>
    <row r="584" spans="1:11" x14ac:dyDescent="0.3">
      <c r="A584" t="s">
        <v>592</v>
      </c>
      <c r="B584" s="1">
        <v>45387</v>
      </c>
      <c r="C584" t="s">
        <v>1069</v>
      </c>
      <c r="D584" t="s">
        <v>1592</v>
      </c>
      <c r="E584" t="s">
        <v>1991</v>
      </c>
      <c r="F584" t="s">
        <v>1992</v>
      </c>
      <c r="G584" t="s">
        <v>1998</v>
      </c>
      <c r="H584">
        <v>3</v>
      </c>
      <c r="I584">
        <v>202</v>
      </c>
      <c r="J584">
        <v>606</v>
      </c>
      <c r="K584">
        <f t="shared" si="9"/>
        <v>2</v>
      </c>
    </row>
    <row r="585" spans="1:11" x14ac:dyDescent="0.3">
      <c r="A585" t="s">
        <v>593</v>
      </c>
      <c r="B585" s="1">
        <v>45383</v>
      </c>
      <c r="C585" t="s">
        <v>1329</v>
      </c>
      <c r="D585" t="s">
        <v>1808</v>
      </c>
      <c r="E585" t="s">
        <v>1994</v>
      </c>
      <c r="F585" t="s">
        <v>1999</v>
      </c>
      <c r="G585" t="s">
        <v>2002</v>
      </c>
      <c r="H585">
        <v>3</v>
      </c>
      <c r="I585">
        <v>17</v>
      </c>
      <c r="J585">
        <v>51</v>
      </c>
      <c r="K585">
        <f t="shared" si="9"/>
        <v>3</v>
      </c>
    </row>
    <row r="586" spans="1:11" x14ac:dyDescent="0.3">
      <c r="A586" t="s">
        <v>594</v>
      </c>
      <c r="B586" s="1">
        <v>45442</v>
      </c>
      <c r="C586" t="s">
        <v>1429</v>
      </c>
      <c r="D586" t="s">
        <v>1745</v>
      </c>
      <c r="E586" t="s">
        <v>1994</v>
      </c>
      <c r="F586" t="s">
        <v>1999</v>
      </c>
      <c r="G586" t="s">
        <v>2002</v>
      </c>
      <c r="H586">
        <v>2</v>
      </c>
      <c r="I586">
        <v>35</v>
      </c>
      <c r="J586">
        <v>70</v>
      </c>
      <c r="K586">
        <f t="shared" si="9"/>
        <v>1</v>
      </c>
    </row>
    <row r="587" spans="1:11" x14ac:dyDescent="0.3">
      <c r="A587" t="s">
        <v>595</v>
      </c>
      <c r="B587" s="1">
        <v>45334</v>
      </c>
      <c r="C587" t="s">
        <v>1109</v>
      </c>
      <c r="D587" t="s">
        <v>1635</v>
      </c>
      <c r="E587" t="s">
        <v>1994</v>
      </c>
      <c r="F587" t="s">
        <v>1996</v>
      </c>
      <c r="G587" t="s">
        <v>1997</v>
      </c>
      <c r="H587">
        <v>5</v>
      </c>
      <c r="I587">
        <v>171</v>
      </c>
      <c r="J587">
        <v>855</v>
      </c>
      <c r="K587">
        <f t="shared" si="9"/>
        <v>2</v>
      </c>
    </row>
    <row r="588" spans="1:11" x14ac:dyDescent="0.3">
      <c r="A588" t="s">
        <v>596</v>
      </c>
      <c r="B588" s="1">
        <v>45381</v>
      </c>
      <c r="C588" t="s">
        <v>1506</v>
      </c>
      <c r="D588" t="s">
        <v>1858</v>
      </c>
      <c r="E588" t="s">
        <v>1991</v>
      </c>
      <c r="F588" t="s">
        <v>1996</v>
      </c>
      <c r="G588" t="s">
        <v>2001</v>
      </c>
      <c r="H588">
        <v>5</v>
      </c>
      <c r="I588">
        <v>127</v>
      </c>
      <c r="J588">
        <v>635</v>
      </c>
      <c r="K588">
        <f t="shared" si="9"/>
        <v>1</v>
      </c>
    </row>
    <row r="589" spans="1:11" x14ac:dyDescent="0.3">
      <c r="A589" t="s">
        <v>597</v>
      </c>
      <c r="B589" s="1">
        <v>45425</v>
      </c>
      <c r="C589" t="s">
        <v>1360</v>
      </c>
      <c r="D589" t="s">
        <v>1943</v>
      </c>
      <c r="E589" t="s">
        <v>1994</v>
      </c>
      <c r="F589" t="s">
        <v>1999</v>
      </c>
      <c r="G589" t="s">
        <v>2000</v>
      </c>
      <c r="H589">
        <v>1</v>
      </c>
      <c r="I589">
        <v>38</v>
      </c>
      <c r="J589">
        <v>38</v>
      </c>
      <c r="K589">
        <f t="shared" si="9"/>
        <v>1</v>
      </c>
    </row>
    <row r="590" spans="1:11" x14ac:dyDescent="0.3">
      <c r="A590" t="s">
        <v>598</v>
      </c>
      <c r="B590" s="1">
        <v>45392</v>
      </c>
      <c r="C590" t="s">
        <v>1476</v>
      </c>
      <c r="D590" t="s">
        <v>1670</v>
      </c>
      <c r="E590" t="s">
        <v>1994</v>
      </c>
      <c r="F590" t="s">
        <v>1999</v>
      </c>
      <c r="G590" t="s">
        <v>2002</v>
      </c>
      <c r="H590">
        <v>1</v>
      </c>
      <c r="I590">
        <v>22</v>
      </c>
      <c r="J590">
        <v>22</v>
      </c>
      <c r="K590">
        <f t="shared" si="9"/>
        <v>2</v>
      </c>
    </row>
    <row r="591" spans="1:11" x14ac:dyDescent="0.3">
      <c r="A591" t="s">
        <v>599</v>
      </c>
      <c r="B591" s="1">
        <v>45454</v>
      </c>
      <c r="C591" t="s">
        <v>1351</v>
      </c>
      <c r="D591" t="s">
        <v>1648</v>
      </c>
      <c r="E591" t="s">
        <v>1991</v>
      </c>
      <c r="F591" t="s">
        <v>1992</v>
      </c>
      <c r="G591" t="s">
        <v>1993</v>
      </c>
      <c r="H591">
        <v>4</v>
      </c>
      <c r="I591">
        <v>286</v>
      </c>
      <c r="J591">
        <v>1144</v>
      </c>
      <c r="K591">
        <f t="shared" si="9"/>
        <v>1</v>
      </c>
    </row>
    <row r="592" spans="1:11" x14ac:dyDescent="0.3">
      <c r="A592" t="s">
        <v>600</v>
      </c>
      <c r="B592" s="1">
        <v>45445</v>
      </c>
      <c r="C592" t="s">
        <v>1308</v>
      </c>
      <c r="D592" t="s">
        <v>1811</v>
      </c>
      <c r="E592" t="s">
        <v>1991</v>
      </c>
      <c r="F592" t="s">
        <v>1999</v>
      </c>
      <c r="G592" t="s">
        <v>2002</v>
      </c>
      <c r="H592">
        <v>1</v>
      </c>
      <c r="I592">
        <v>34</v>
      </c>
      <c r="J592">
        <v>34</v>
      </c>
      <c r="K592">
        <f t="shared" si="9"/>
        <v>1</v>
      </c>
    </row>
    <row r="593" spans="1:11" x14ac:dyDescent="0.3">
      <c r="A593" t="s">
        <v>601</v>
      </c>
      <c r="B593" s="1">
        <v>45312</v>
      </c>
      <c r="C593" t="s">
        <v>1076</v>
      </c>
      <c r="D593" t="s">
        <v>1821</v>
      </c>
      <c r="E593" t="s">
        <v>1991</v>
      </c>
      <c r="F593" t="s">
        <v>1996</v>
      </c>
      <c r="G593" t="s">
        <v>2001</v>
      </c>
      <c r="H593">
        <v>4</v>
      </c>
      <c r="I593">
        <v>121</v>
      </c>
      <c r="J593">
        <v>484</v>
      </c>
      <c r="K593">
        <f t="shared" si="9"/>
        <v>3</v>
      </c>
    </row>
    <row r="594" spans="1:11" x14ac:dyDescent="0.3">
      <c r="A594" t="s">
        <v>602</v>
      </c>
      <c r="B594" s="1">
        <v>45321</v>
      </c>
      <c r="C594" t="s">
        <v>1465</v>
      </c>
      <c r="D594" t="s">
        <v>1769</v>
      </c>
      <c r="E594" t="s">
        <v>1991</v>
      </c>
      <c r="F594" t="s">
        <v>1996</v>
      </c>
      <c r="G594" t="s">
        <v>1997</v>
      </c>
      <c r="H594">
        <v>1</v>
      </c>
      <c r="I594">
        <v>255</v>
      </c>
      <c r="J594">
        <v>255</v>
      </c>
      <c r="K594">
        <f t="shared" si="9"/>
        <v>2</v>
      </c>
    </row>
    <row r="595" spans="1:11" x14ac:dyDescent="0.3">
      <c r="A595" t="s">
        <v>603</v>
      </c>
      <c r="B595" s="1">
        <v>45425</v>
      </c>
      <c r="C595" t="s">
        <v>1234</v>
      </c>
      <c r="D595" t="s">
        <v>1675</v>
      </c>
      <c r="E595" t="s">
        <v>1994</v>
      </c>
      <c r="F595" t="s">
        <v>1999</v>
      </c>
      <c r="G595" t="s">
        <v>2002</v>
      </c>
      <c r="H595">
        <v>3</v>
      </c>
      <c r="I595">
        <v>41</v>
      </c>
      <c r="J595">
        <v>123</v>
      </c>
      <c r="K595">
        <f t="shared" si="9"/>
        <v>1</v>
      </c>
    </row>
    <row r="596" spans="1:11" x14ac:dyDescent="0.3">
      <c r="A596" t="s">
        <v>604</v>
      </c>
      <c r="B596" s="1">
        <v>45360</v>
      </c>
      <c r="C596" t="s">
        <v>1203</v>
      </c>
      <c r="D596" t="s">
        <v>1622</v>
      </c>
      <c r="E596" t="s">
        <v>1991</v>
      </c>
      <c r="F596" t="s">
        <v>1992</v>
      </c>
      <c r="G596" t="s">
        <v>1998</v>
      </c>
      <c r="H596">
        <v>2</v>
      </c>
      <c r="I596">
        <v>407</v>
      </c>
      <c r="J596">
        <v>814</v>
      </c>
      <c r="K596">
        <f t="shared" si="9"/>
        <v>2</v>
      </c>
    </row>
    <row r="597" spans="1:11" x14ac:dyDescent="0.3">
      <c r="A597" t="s">
        <v>605</v>
      </c>
      <c r="B597" s="1">
        <v>45460</v>
      </c>
      <c r="C597" t="s">
        <v>1188</v>
      </c>
      <c r="D597" t="s">
        <v>1853</v>
      </c>
      <c r="E597" t="s">
        <v>1991</v>
      </c>
      <c r="F597" t="s">
        <v>1996</v>
      </c>
      <c r="G597" t="s">
        <v>2001</v>
      </c>
      <c r="H597">
        <v>3</v>
      </c>
      <c r="I597">
        <v>178</v>
      </c>
      <c r="J597">
        <v>534</v>
      </c>
      <c r="K597">
        <f t="shared" si="9"/>
        <v>1</v>
      </c>
    </row>
    <row r="598" spans="1:11" x14ac:dyDescent="0.3">
      <c r="A598" t="s">
        <v>606</v>
      </c>
      <c r="B598" s="1">
        <v>45520</v>
      </c>
      <c r="C598" t="s">
        <v>1015</v>
      </c>
      <c r="D598" t="s">
        <v>1627</v>
      </c>
      <c r="E598" t="s">
        <v>1991</v>
      </c>
      <c r="F598" t="s">
        <v>1999</v>
      </c>
      <c r="G598" t="s">
        <v>2003</v>
      </c>
      <c r="H598">
        <v>2</v>
      </c>
      <c r="I598">
        <v>18</v>
      </c>
      <c r="J598">
        <v>36</v>
      </c>
      <c r="K598">
        <f t="shared" si="9"/>
        <v>2</v>
      </c>
    </row>
    <row r="599" spans="1:11" x14ac:dyDescent="0.3">
      <c r="A599" t="s">
        <v>607</v>
      </c>
      <c r="B599" s="1">
        <v>45537</v>
      </c>
      <c r="C599" t="s">
        <v>1044</v>
      </c>
      <c r="D599" t="s">
        <v>1700</v>
      </c>
      <c r="E599" t="s">
        <v>1991</v>
      </c>
      <c r="F599" t="s">
        <v>1996</v>
      </c>
      <c r="G599" t="s">
        <v>2004</v>
      </c>
      <c r="H599">
        <v>2</v>
      </c>
      <c r="I599">
        <v>268</v>
      </c>
      <c r="J599">
        <v>536</v>
      </c>
      <c r="K599">
        <f t="shared" si="9"/>
        <v>1</v>
      </c>
    </row>
    <row r="600" spans="1:11" x14ac:dyDescent="0.3">
      <c r="A600" t="s">
        <v>608</v>
      </c>
      <c r="B600" s="1">
        <v>45342</v>
      </c>
      <c r="C600" t="s">
        <v>1324</v>
      </c>
      <c r="D600" t="s">
        <v>1599</v>
      </c>
      <c r="E600" t="s">
        <v>1994</v>
      </c>
      <c r="F600" t="s">
        <v>1992</v>
      </c>
      <c r="G600" t="s">
        <v>1998</v>
      </c>
      <c r="H600">
        <v>1</v>
      </c>
      <c r="I600">
        <v>314</v>
      </c>
      <c r="J600">
        <v>314</v>
      </c>
      <c r="K600">
        <f t="shared" si="9"/>
        <v>2</v>
      </c>
    </row>
    <row r="601" spans="1:11" x14ac:dyDescent="0.3">
      <c r="A601" t="s">
        <v>609</v>
      </c>
      <c r="B601" s="1">
        <v>45403</v>
      </c>
      <c r="C601" t="s">
        <v>1436</v>
      </c>
      <c r="D601" t="s">
        <v>1602</v>
      </c>
      <c r="E601" t="s">
        <v>1991</v>
      </c>
      <c r="F601" t="s">
        <v>1996</v>
      </c>
      <c r="G601" t="s">
        <v>1997</v>
      </c>
      <c r="H601">
        <v>5</v>
      </c>
      <c r="I601">
        <v>170</v>
      </c>
      <c r="J601">
        <v>850</v>
      </c>
      <c r="K601">
        <f t="shared" si="9"/>
        <v>1</v>
      </c>
    </row>
    <row r="602" spans="1:11" x14ac:dyDescent="0.3">
      <c r="A602" t="s">
        <v>610</v>
      </c>
      <c r="B602" s="1">
        <v>45448</v>
      </c>
      <c r="C602" t="s">
        <v>1394</v>
      </c>
      <c r="D602" t="s">
        <v>1539</v>
      </c>
      <c r="E602" t="s">
        <v>1994</v>
      </c>
      <c r="F602" t="s">
        <v>1999</v>
      </c>
      <c r="G602" t="s">
        <v>2002</v>
      </c>
      <c r="H602">
        <v>4</v>
      </c>
      <c r="I602">
        <v>47</v>
      </c>
      <c r="J602">
        <v>188</v>
      </c>
      <c r="K602">
        <f t="shared" si="9"/>
        <v>2</v>
      </c>
    </row>
    <row r="603" spans="1:11" x14ac:dyDescent="0.3">
      <c r="A603" t="s">
        <v>611</v>
      </c>
      <c r="B603" s="1">
        <v>45354</v>
      </c>
      <c r="C603" t="s">
        <v>1091</v>
      </c>
      <c r="D603" t="s">
        <v>1603</v>
      </c>
      <c r="E603" t="s">
        <v>1991</v>
      </c>
      <c r="F603" t="s">
        <v>1992</v>
      </c>
      <c r="G603" t="s">
        <v>1995</v>
      </c>
      <c r="H603">
        <v>2</v>
      </c>
      <c r="I603">
        <v>229</v>
      </c>
      <c r="J603">
        <v>458</v>
      </c>
      <c r="K603">
        <f t="shared" si="9"/>
        <v>3</v>
      </c>
    </row>
    <row r="604" spans="1:11" x14ac:dyDescent="0.3">
      <c r="A604" t="s">
        <v>612</v>
      </c>
      <c r="B604" s="1">
        <v>45421</v>
      </c>
      <c r="C604" t="s">
        <v>1307</v>
      </c>
      <c r="D604" t="s">
        <v>1877</v>
      </c>
      <c r="E604" t="s">
        <v>1994</v>
      </c>
      <c r="F604" t="s">
        <v>1996</v>
      </c>
      <c r="G604" t="s">
        <v>2001</v>
      </c>
      <c r="H604">
        <v>3</v>
      </c>
      <c r="I604">
        <v>293</v>
      </c>
      <c r="J604">
        <v>879</v>
      </c>
      <c r="K604">
        <f t="shared" si="9"/>
        <v>2</v>
      </c>
    </row>
    <row r="605" spans="1:11" x14ac:dyDescent="0.3">
      <c r="A605" t="s">
        <v>613</v>
      </c>
      <c r="B605" s="1">
        <v>45475</v>
      </c>
      <c r="C605" t="s">
        <v>1147</v>
      </c>
      <c r="D605" t="s">
        <v>1791</v>
      </c>
      <c r="E605" t="s">
        <v>1991</v>
      </c>
      <c r="F605" t="s">
        <v>1999</v>
      </c>
      <c r="G605" t="s">
        <v>2003</v>
      </c>
      <c r="H605">
        <v>3</v>
      </c>
      <c r="I605">
        <v>50</v>
      </c>
      <c r="J605">
        <v>150</v>
      </c>
      <c r="K605">
        <f t="shared" si="9"/>
        <v>4</v>
      </c>
    </row>
    <row r="606" spans="1:11" x14ac:dyDescent="0.3">
      <c r="A606" t="s">
        <v>614</v>
      </c>
      <c r="B606" s="1">
        <v>45531</v>
      </c>
      <c r="C606" t="s">
        <v>1182</v>
      </c>
      <c r="D606" t="s">
        <v>1609</v>
      </c>
      <c r="E606" t="s">
        <v>1991</v>
      </c>
      <c r="F606" t="s">
        <v>1992</v>
      </c>
      <c r="G606" t="s">
        <v>1995</v>
      </c>
      <c r="H606">
        <v>1</v>
      </c>
      <c r="I606">
        <v>465</v>
      </c>
      <c r="J606">
        <v>465</v>
      </c>
      <c r="K606">
        <f t="shared" si="9"/>
        <v>1</v>
      </c>
    </row>
    <row r="607" spans="1:11" x14ac:dyDescent="0.3">
      <c r="A607" t="s">
        <v>615</v>
      </c>
      <c r="B607" s="1">
        <v>45368</v>
      </c>
      <c r="C607" t="s">
        <v>1384</v>
      </c>
      <c r="D607" t="s">
        <v>1822</v>
      </c>
      <c r="E607" t="s">
        <v>1994</v>
      </c>
      <c r="F607" t="s">
        <v>1992</v>
      </c>
      <c r="G607" t="s">
        <v>1993</v>
      </c>
      <c r="H607">
        <v>3</v>
      </c>
      <c r="I607">
        <v>359</v>
      </c>
      <c r="J607">
        <v>1077</v>
      </c>
      <c r="K607">
        <f t="shared" si="9"/>
        <v>2</v>
      </c>
    </row>
    <row r="608" spans="1:11" x14ac:dyDescent="0.3">
      <c r="A608" t="s">
        <v>616</v>
      </c>
      <c r="B608" s="1">
        <v>45350</v>
      </c>
      <c r="C608" t="s">
        <v>1262</v>
      </c>
      <c r="D608" t="s">
        <v>1615</v>
      </c>
      <c r="E608" t="s">
        <v>1991</v>
      </c>
      <c r="F608" t="s">
        <v>1992</v>
      </c>
      <c r="G608" t="s">
        <v>1993</v>
      </c>
      <c r="H608">
        <v>2</v>
      </c>
      <c r="I608">
        <v>237</v>
      </c>
      <c r="J608">
        <v>474</v>
      </c>
      <c r="K608">
        <f t="shared" si="9"/>
        <v>3</v>
      </c>
    </row>
    <row r="609" spans="1:11" x14ac:dyDescent="0.3">
      <c r="A609" t="s">
        <v>617</v>
      </c>
      <c r="B609" s="1">
        <v>45479</v>
      </c>
      <c r="C609" t="s">
        <v>1048</v>
      </c>
      <c r="D609" t="s">
        <v>1610</v>
      </c>
      <c r="E609" t="s">
        <v>1991</v>
      </c>
      <c r="F609" t="s">
        <v>1992</v>
      </c>
      <c r="G609" t="s">
        <v>1998</v>
      </c>
      <c r="H609">
        <v>1</v>
      </c>
      <c r="I609">
        <v>461</v>
      </c>
      <c r="J609">
        <v>461</v>
      </c>
      <c r="K609">
        <f t="shared" si="9"/>
        <v>2</v>
      </c>
    </row>
    <row r="610" spans="1:11" x14ac:dyDescent="0.3">
      <c r="A610" t="s">
        <v>618</v>
      </c>
      <c r="B610" s="1">
        <v>45372</v>
      </c>
      <c r="C610" t="s">
        <v>1475</v>
      </c>
      <c r="D610" t="s">
        <v>1941</v>
      </c>
      <c r="E610" t="s">
        <v>1991</v>
      </c>
      <c r="F610" t="s">
        <v>1999</v>
      </c>
      <c r="G610" t="s">
        <v>2002</v>
      </c>
      <c r="H610">
        <v>2</v>
      </c>
      <c r="I610">
        <v>33</v>
      </c>
      <c r="J610">
        <v>66</v>
      </c>
      <c r="K610">
        <f t="shared" si="9"/>
        <v>3</v>
      </c>
    </row>
    <row r="611" spans="1:11" x14ac:dyDescent="0.3">
      <c r="A611" t="s">
        <v>619</v>
      </c>
      <c r="B611" s="1">
        <v>45413</v>
      </c>
      <c r="C611" t="s">
        <v>1443</v>
      </c>
      <c r="D611" t="s">
        <v>1736</v>
      </c>
      <c r="E611" t="s">
        <v>1994</v>
      </c>
      <c r="F611" t="s">
        <v>1999</v>
      </c>
      <c r="G611" t="s">
        <v>2000</v>
      </c>
      <c r="H611">
        <v>5</v>
      </c>
      <c r="I611">
        <v>42</v>
      </c>
      <c r="J611">
        <v>210</v>
      </c>
      <c r="K611">
        <f t="shared" si="9"/>
        <v>2</v>
      </c>
    </row>
    <row r="612" spans="1:11" x14ac:dyDescent="0.3">
      <c r="A612" t="s">
        <v>620</v>
      </c>
      <c r="B612" s="1">
        <v>45352</v>
      </c>
      <c r="C612" t="s">
        <v>1179</v>
      </c>
      <c r="D612" t="s">
        <v>1723</v>
      </c>
      <c r="E612" t="s">
        <v>1994</v>
      </c>
      <c r="F612" t="s">
        <v>1996</v>
      </c>
      <c r="G612" t="s">
        <v>1997</v>
      </c>
      <c r="H612">
        <v>2</v>
      </c>
      <c r="I612">
        <v>189</v>
      </c>
      <c r="J612">
        <v>378</v>
      </c>
      <c r="K612">
        <f t="shared" si="9"/>
        <v>2</v>
      </c>
    </row>
    <row r="613" spans="1:11" x14ac:dyDescent="0.3">
      <c r="A613" t="s">
        <v>621</v>
      </c>
      <c r="B613" s="1">
        <v>45375</v>
      </c>
      <c r="C613" t="s">
        <v>1013</v>
      </c>
      <c r="D613" t="s">
        <v>1681</v>
      </c>
      <c r="E613" t="s">
        <v>1994</v>
      </c>
      <c r="F613" t="s">
        <v>1999</v>
      </c>
      <c r="G613" t="s">
        <v>2003</v>
      </c>
      <c r="H613">
        <v>4</v>
      </c>
      <c r="I613">
        <v>43</v>
      </c>
      <c r="J613">
        <v>172</v>
      </c>
      <c r="K613">
        <f t="shared" si="9"/>
        <v>2</v>
      </c>
    </row>
    <row r="614" spans="1:11" x14ac:dyDescent="0.3">
      <c r="A614" t="s">
        <v>622</v>
      </c>
      <c r="B614" s="1">
        <v>45368</v>
      </c>
      <c r="C614" t="s">
        <v>1347</v>
      </c>
      <c r="D614" t="s">
        <v>1559</v>
      </c>
      <c r="E614" t="s">
        <v>1994</v>
      </c>
      <c r="F614" t="s">
        <v>1996</v>
      </c>
      <c r="G614" t="s">
        <v>2004</v>
      </c>
      <c r="H614">
        <v>2</v>
      </c>
      <c r="I614">
        <v>252</v>
      </c>
      <c r="J614">
        <v>504</v>
      </c>
      <c r="K614">
        <f t="shared" si="9"/>
        <v>3</v>
      </c>
    </row>
    <row r="615" spans="1:11" x14ac:dyDescent="0.3">
      <c r="A615" t="s">
        <v>623</v>
      </c>
      <c r="B615" s="1">
        <v>45481</v>
      </c>
      <c r="C615" t="s">
        <v>1410</v>
      </c>
      <c r="D615" t="s">
        <v>1591</v>
      </c>
      <c r="E615" t="s">
        <v>1994</v>
      </c>
      <c r="F615" t="s">
        <v>1996</v>
      </c>
      <c r="G615" t="s">
        <v>1997</v>
      </c>
      <c r="H615">
        <v>2</v>
      </c>
      <c r="I615">
        <v>143</v>
      </c>
      <c r="J615">
        <v>286</v>
      </c>
      <c r="K615">
        <f t="shared" si="9"/>
        <v>2</v>
      </c>
    </row>
    <row r="616" spans="1:11" x14ac:dyDescent="0.3">
      <c r="A616" t="s">
        <v>624</v>
      </c>
      <c r="B616" s="1">
        <v>45433</v>
      </c>
      <c r="C616" t="s">
        <v>1478</v>
      </c>
      <c r="D616" t="s">
        <v>1954</v>
      </c>
      <c r="E616" t="s">
        <v>1994</v>
      </c>
      <c r="F616" t="s">
        <v>1999</v>
      </c>
      <c r="G616" t="s">
        <v>2002</v>
      </c>
      <c r="H616">
        <v>3</v>
      </c>
      <c r="I616">
        <v>36</v>
      </c>
      <c r="J616">
        <v>108</v>
      </c>
      <c r="K616">
        <f t="shared" si="9"/>
        <v>1</v>
      </c>
    </row>
    <row r="617" spans="1:11" x14ac:dyDescent="0.3">
      <c r="A617" t="s">
        <v>625</v>
      </c>
      <c r="B617" s="1">
        <v>45366</v>
      </c>
      <c r="C617" t="s">
        <v>1503</v>
      </c>
      <c r="D617" t="s">
        <v>1752</v>
      </c>
      <c r="E617" t="s">
        <v>1991</v>
      </c>
      <c r="F617" t="s">
        <v>1996</v>
      </c>
      <c r="G617" t="s">
        <v>2001</v>
      </c>
      <c r="H617">
        <v>5</v>
      </c>
      <c r="I617">
        <v>148</v>
      </c>
      <c r="J617">
        <v>740</v>
      </c>
      <c r="K617">
        <f t="shared" si="9"/>
        <v>2</v>
      </c>
    </row>
    <row r="618" spans="1:11" x14ac:dyDescent="0.3">
      <c r="A618" t="s">
        <v>626</v>
      </c>
      <c r="B618" s="1">
        <v>45409</v>
      </c>
      <c r="C618" t="s">
        <v>1192</v>
      </c>
      <c r="D618" t="s">
        <v>1690</v>
      </c>
      <c r="E618" t="s">
        <v>1994</v>
      </c>
      <c r="F618" t="s">
        <v>1992</v>
      </c>
      <c r="G618" t="s">
        <v>1998</v>
      </c>
      <c r="H618">
        <v>4</v>
      </c>
      <c r="I618">
        <v>318</v>
      </c>
      <c r="J618">
        <v>1272</v>
      </c>
      <c r="K618">
        <f t="shared" si="9"/>
        <v>1</v>
      </c>
    </row>
    <row r="619" spans="1:11" x14ac:dyDescent="0.3">
      <c r="A619" t="s">
        <v>627</v>
      </c>
      <c r="B619" s="1">
        <v>45309</v>
      </c>
      <c r="C619" t="s">
        <v>1147</v>
      </c>
      <c r="D619" t="s">
        <v>1533</v>
      </c>
      <c r="E619" t="s">
        <v>1994</v>
      </c>
      <c r="F619" t="s">
        <v>1992</v>
      </c>
      <c r="G619" t="s">
        <v>1995</v>
      </c>
      <c r="H619">
        <v>1</v>
      </c>
      <c r="I619">
        <v>342</v>
      </c>
      <c r="J619">
        <v>342</v>
      </c>
      <c r="K619">
        <f t="shared" si="9"/>
        <v>3</v>
      </c>
    </row>
    <row r="620" spans="1:11" x14ac:dyDescent="0.3">
      <c r="A620" t="s">
        <v>628</v>
      </c>
      <c r="B620" s="1">
        <v>45411</v>
      </c>
      <c r="C620" t="e">
        <v>#REF!</v>
      </c>
      <c r="D620" t="s">
        <v>1973</v>
      </c>
      <c r="E620" t="s">
        <v>1991</v>
      </c>
      <c r="F620" t="s">
        <v>1999</v>
      </c>
      <c r="G620" t="s">
        <v>2000</v>
      </c>
      <c r="H620">
        <v>1</v>
      </c>
      <c r="I620">
        <v>44</v>
      </c>
      <c r="J620">
        <v>44</v>
      </c>
      <c r="K620">
        <f t="shared" si="9"/>
        <v>1</v>
      </c>
    </row>
    <row r="621" spans="1:11" x14ac:dyDescent="0.3">
      <c r="A621" t="s">
        <v>629</v>
      </c>
      <c r="B621" s="1">
        <v>45302</v>
      </c>
      <c r="C621" t="s">
        <v>1065</v>
      </c>
      <c r="D621" t="s">
        <v>1872</v>
      </c>
      <c r="E621" t="s">
        <v>1991</v>
      </c>
      <c r="F621" t="s">
        <v>1992</v>
      </c>
      <c r="G621" t="s">
        <v>1998</v>
      </c>
      <c r="H621">
        <v>1</v>
      </c>
      <c r="I621">
        <v>222</v>
      </c>
      <c r="J621">
        <v>222</v>
      </c>
      <c r="K621">
        <f t="shared" si="9"/>
        <v>1</v>
      </c>
    </row>
    <row r="622" spans="1:11" x14ac:dyDescent="0.3">
      <c r="A622" t="s">
        <v>630</v>
      </c>
      <c r="B622" s="1">
        <v>45354</v>
      </c>
      <c r="C622" t="s">
        <v>1030</v>
      </c>
      <c r="D622" t="s">
        <v>1515</v>
      </c>
      <c r="E622" t="s">
        <v>1994</v>
      </c>
      <c r="F622" t="s">
        <v>1999</v>
      </c>
      <c r="G622" t="s">
        <v>2000</v>
      </c>
      <c r="H622">
        <v>5</v>
      </c>
      <c r="I622">
        <v>34</v>
      </c>
      <c r="J622">
        <v>170</v>
      </c>
      <c r="K622">
        <f t="shared" si="9"/>
        <v>1</v>
      </c>
    </row>
    <row r="623" spans="1:11" x14ac:dyDescent="0.3">
      <c r="A623" t="s">
        <v>631</v>
      </c>
      <c r="B623" s="1">
        <v>45312</v>
      </c>
      <c r="C623" t="s">
        <v>1447</v>
      </c>
      <c r="D623" t="s">
        <v>1776</v>
      </c>
      <c r="E623" t="s">
        <v>1994</v>
      </c>
      <c r="F623" t="s">
        <v>1992</v>
      </c>
      <c r="G623" t="s">
        <v>1993</v>
      </c>
      <c r="H623">
        <v>5</v>
      </c>
      <c r="I623">
        <v>316</v>
      </c>
      <c r="J623">
        <v>1580</v>
      </c>
      <c r="K623">
        <f t="shared" si="9"/>
        <v>1</v>
      </c>
    </row>
    <row r="624" spans="1:11" x14ac:dyDescent="0.3">
      <c r="A624" t="s">
        <v>632</v>
      </c>
      <c r="B624" s="1">
        <v>45545</v>
      </c>
      <c r="C624" t="s">
        <v>1104</v>
      </c>
      <c r="D624" t="s">
        <v>1611</v>
      </c>
      <c r="E624" t="s">
        <v>1994</v>
      </c>
      <c r="F624" t="s">
        <v>1999</v>
      </c>
      <c r="G624" t="s">
        <v>2000</v>
      </c>
      <c r="H624">
        <v>5</v>
      </c>
      <c r="I624">
        <v>22</v>
      </c>
      <c r="J624">
        <v>110</v>
      </c>
      <c r="K624">
        <f t="shared" si="9"/>
        <v>1</v>
      </c>
    </row>
    <row r="625" spans="1:11" x14ac:dyDescent="0.3">
      <c r="A625" t="s">
        <v>633</v>
      </c>
      <c r="B625" s="1">
        <v>45493</v>
      </c>
      <c r="C625" t="s">
        <v>1274</v>
      </c>
      <c r="D625" t="s">
        <v>1851</v>
      </c>
      <c r="E625" t="s">
        <v>1991</v>
      </c>
      <c r="F625" t="s">
        <v>1999</v>
      </c>
      <c r="G625" t="s">
        <v>2002</v>
      </c>
      <c r="H625">
        <v>5</v>
      </c>
      <c r="I625">
        <v>42</v>
      </c>
      <c r="J625">
        <v>210</v>
      </c>
      <c r="K625">
        <f t="shared" si="9"/>
        <v>1</v>
      </c>
    </row>
    <row r="626" spans="1:11" x14ac:dyDescent="0.3">
      <c r="A626" t="s">
        <v>634</v>
      </c>
      <c r="B626" s="1">
        <v>45402</v>
      </c>
      <c r="C626" t="s">
        <v>1409</v>
      </c>
      <c r="D626" t="s">
        <v>1688</v>
      </c>
      <c r="E626" t="s">
        <v>1994</v>
      </c>
      <c r="F626" t="s">
        <v>1999</v>
      </c>
      <c r="G626" t="s">
        <v>2002</v>
      </c>
      <c r="H626">
        <v>1</v>
      </c>
      <c r="I626">
        <v>24</v>
      </c>
      <c r="J626">
        <v>24</v>
      </c>
      <c r="K626">
        <f t="shared" si="9"/>
        <v>2</v>
      </c>
    </row>
    <row r="627" spans="1:11" x14ac:dyDescent="0.3">
      <c r="A627" t="s">
        <v>635</v>
      </c>
      <c r="B627" s="1">
        <v>45511</v>
      </c>
      <c r="C627" t="s">
        <v>1312</v>
      </c>
      <c r="D627" t="s">
        <v>1676</v>
      </c>
      <c r="E627" t="s">
        <v>1991</v>
      </c>
      <c r="F627" t="s">
        <v>1992</v>
      </c>
      <c r="G627" t="s">
        <v>1993</v>
      </c>
      <c r="H627">
        <v>1</v>
      </c>
      <c r="I627">
        <v>203</v>
      </c>
      <c r="J627">
        <v>203</v>
      </c>
      <c r="K627">
        <f t="shared" si="9"/>
        <v>2</v>
      </c>
    </row>
    <row r="628" spans="1:11" x14ac:dyDescent="0.3">
      <c r="A628" t="s">
        <v>636</v>
      </c>
      <c r="B628" s="1">
        <v>45556</v>
      </c>
      <c r="C628" t="s">
        <v>1508</v>
      </c>
      <c r="D628" t="s">
        <v>1531</v>
      </c>
      <c r="E628" t="s">
        <v>1994</v>
      </c>
      <c r="F628" t="s">
        <v>1992</v>
      </c>
      <c r="G628" t="s">
        <v>1993</v>
      </c>
      <c r="H628">
        <v>1</v>
      </c>
      <c r="I628">
        <v>287</v>
      </c>
      <c r="J628">
        <v>287</v>
      </c>
      <c r="K628">
        <f t="shared" si="9"/>
        <v>1</v>
      </c>
    </row>
    <row r="629" spans="1:11" x14ac:dyDescent="0.3">
      <c r="A629" t="s">
        <v>637</v>
      </c>
      <c r="B629" s="1">
        <v>45440</v>
      </c>
      <c r="C629" t="s">
        <v>1323</v>
      </c>
      <c r="D629" t="s">
        <v>1747</v>
      </c>
      <c r="E629" t="s">
        <v>1991</v>
      </c>
      <c r="F629" t="s">
        <v>1992</v>
      </c>
      <c r="G629" t="s">
        <v>1995</v>
      </c>
      <c r="H629">
        <v>3</v>
      </c>
      <c r="I629">
        <v>464</v>
      </c>
      <c r="J629">
        <v>1392</v>
      </c>
      <c r="K629">
        <f t="shared" si="9"/>
        <v>1</v>
      </c>
    </row>
    <row r="630" spans="1:11" x14ac:dyDescent="0.3">
      <c r="A630" t="s">
        <v>638</v>
      </c>
      <c r="B630" s="1">
        <v>45335</v>
      </c>
      <c r="C630" t="s">
        <v>1414</v>
      </c>
      <c r="D630" t="s">
        <v>1829</v>
      </c>
      <c r="E630" t="s">
        <v>1994</v>
      </c>
      <c r="F630" t="s">
        <v>1992</v>
      </c>
      <c r="G630" t="s">
        <v>1998</v>
      </c>
      <c r="H630">
        <v>4</v>
      </c>
      <c r="I630">
        <v>251</v>
      </c>
      <c r="J630">
        <v>1004</v>
      </c>
      <c r="K630">
        <f t="shared" si="9"/>
        <v>1</v>
      </c>
    </row>
    <row r="631" spans="1:11" x14ac:dyDescent="0.3">
      <c r="A631" t="s">
        <v>639</v>
      </c>
      <c r="B631" s="1">
        <v>45530</v>
      </c>
      <c r="C631" t="s">
        <v>1483</v>
      </c>
      <c r="D631" t="s">
        <v>1708</v>
      </c>
      <c r="E631" t="s">
        <v>1994</v>
      </c>
      <c r="F631" t="s">
        <v>1996</v>
      </c>
      <c r="G631" t="s">
        <v>2004</v>
      </c>
      <c r="H631">
        <v>3</v>
      </c>
      <c r="I631">
        <v>277</v>
      </c>
      <c r="J631">
        <v>831</v>
      </c>
      <c r="K631">
        <f t="shared" si="9"/>
        <v>1</v>
      </c>
    </row>
    <row r="632" spans="1:11" x14ac:dyDescent="0.3">
      <c r="A632" t="s">
        <v>640</v>
      </c>
      <c r="B632" s="1">
        <v>45312</v>
      </c>
      <c r="C632" t="s">
        <v>1124</v>
      </c>
      <c r="D632" t="s">
        <v>1705</v>
      </c>
      <c r="E632" t="s">
        <v>1991</v>
      </c>
      <c r="F632" t="s">
        <v>1996</v>
      </c>
      <c r="G632" t="s">
        <v>2004</v>
      </c>
      <c r="H632">
        <v>2</v>
      </c>
      <c r="I632">
        <v>133</v>
      </c>
      <c r="J632">
        <v>266</v>
      </c>
      <c r="K632">
        <f t="shared" si="9"/>
        <v>2</v>
      </c>
    </row>
    <row r="633" spans="1:11" x14ac:dyDescent="0.3">
      <c r="A633" t="s">
        <v>641</v>
      </c>
      <c r="B633" s="1">
        <v>45562</v>
      </c>
      <c r="C633" t="s">
        <v>1322</v>
      </c>
      <c r="D633" t="s">
        <v>1647</v>
      </c>
      <c r="E633" t="s">
        <v>1991</v>
      </c>
      <c r="F633" t="s">
        <v>1996</v>
      </c>
      <c r="G633" t="s">
        <v>2001</v>
      </c>
      <c r="H633">
        <v>1</v>
      </c>
      <c r="I633">
        <v>133</v>
      </c>
      <c r="J633">
        <v>133</v>
      </c>
      <c r="K633">
        <f t="shared" si="9"/>
        <v>3</v>
      </c>
    </row>
    <row r="634" spans="1:11" x14ac:dyDescent="0.3">
      <c r="A634" t="s">
        <v>642</v>
      </c>
      <c r="B634" s="1">
        <v>45443</v>
      </c>
      <c r="C634" t="s">
        <v>1358</v>
      </c>
      <c r="D634" t="s">
        <v>1860</v>
      </c>
      <c r="E634" t="s">
        <v>1991</v>
      </c>
      <c r="F634" t="s">
        <v>1992</v>
      </c>
      <c r="G634" t="s">
        <v>1998</v>
      </c>
      <c r="H634">
        <v>3</v>
      </c>
      <c r="I634">
        <v>462</v>
      </c>
      <c r="J634">
        <v>1386</v>
      </c>
      <c r="K634">
        <f t="shared" si="9"/>
        <v>2</v>
      </c>
    </row>
    <row r="635" spans="1:11" x14ac:dyDescent="0.3">
      <c r="A635" t="s">
        <v>643</v>
      </c>
      <c r="B635" s="1">
        <v>45297</v>
      </c>
      <c r="C635" t="s">
        <v>1017</v>
      </c>
      <c r="D635" t="s">
        <v>1869</v>
      </c>
      <c r="E635" t="s">
        <v>1994</v>
      </c>
      <c r="F635" t="s">
        <v>1999</v>
      </c>
      <c r="G635" t="s">
        <v>2002</v>
      </c>
      <c r="H635">
        <v>5</v>
      </c>
      <c r="I635">
        <v>26</v>
      </c>
      <c r="J635">
        <v>130</v>
      </c>
      <c r="K635">
        <f t="shared" si="9"/>
        <v>2</v>
      </c>
    </row>
    <row r="636" spans="1:11" x14ac:dyDescent="0.3">
      <c r="A636" t="s">
        <v>644</v>
      </c>
      <c r="B636" s="1">
        <v>45537</v>
      </c>
      <c r="C636" t="s">
        <v>1136</v>
      </c>
      <c r="D636" t="s">
        <v>1594</v>
      </c>
      <c r="E636" t="s">
        <v>1991</v>
      </c>
      <c r="F636" t="s">
        <v>1999</v>
      </c>
      <c r="G636" t="s">
        <v>2000</v>
      </c>
      <c r="H636">
        <v>4</v>
      </c>
      <c r="I636">
        <v>26</v>
      </c>
      <c r="J636">
        <v>104</v>
      </c>
      <c r="K636">
        <f t="shared" si="9"/>
        <v>1</v>
      </c>
    </row>
    <row r="637" spans="1:11" x14ac:dyDescent="0.3">
      <c r="A637" t="s">
        <v>645</v>
      </c>
      <c r="B637" s="1">
        <v>45345</v>
      </c>
      <c r="C637" t="s">
        <v>1448</v>
      </c>
      <c r="D637" t="s">
        <v>1985</v>
      </c>
      <c r="E637" t="s">
        <v>1991</v>
      </c>
      <c r="F637" t="s">
        <v>1996</v>
      </c>
      <c r="G637" t="s">
        <v>2001</v>
      </c>
      <c r="H637">
        <v>1</v>
      </c>
      <c r="I637">
        <v>271</v>
      </c>
      <c r="J637">
        <v>271</v>
      </c>
      <c r="K637">
        <f t="shared" si="9"/>
        <v>2</v>
      </c>
    </row>
    <row r="638" spans="1:11" x14ac:dyDescent="0.3">
      <c r="A638" t="s">
        <v>646</v>
      </c>
      <c r="B638" s="1">
        <v>45322</v>
      </c>
      <c r="C638" t="s">
        <v>1059</v>
      </c>
      <c r="D638" t="s">
        <v>1823</v>
      </c>
      <c r="E638" t="s">
        <v>1994</v>
      </c>
      <c r="F638" t="s">
        <v>1992</v>
      </c>
      <c r="G638" t="s">
        <v>1993</v>
      </c>
      <c r="H638">
        <v>1</v>
      </c>
      <c r="I638">
        <v>228</v>
      </c>
      <c r="J638">
        <v>228</v>
      </c>
      <c r="K638">
        <f t="shared" si="9"/>
        <v>1</v>
      </c>
    </row>
    <row r="639" spans="1:11" x14ac:dyDescent="0.3">
      <c r="A639" t="s">
        <v>647</v>
      </c>
      <c r="B639" s="1">
        <v>45516</v>
      </c>
      <c r="C639" t="s">
        <v>1448</v>
      </c>
      <c r="D639" t="s">
        <v>1814</v>
      </c>
      <c r="E639" t="s">
        <v>1994</v>
      </c>
      <c r="F639" t="s">
        <v>1996</v>
      </c>
      <c r="G639" t="s">
        <v>2004</v>
      </c>
      <c r="H639">
        <v>5</v>
      </c>
      <c r="I639">
        <v>244</v>
      </c>
      <c r="J639">
        <v>1220</v>
      </c>
      <c r="K639">
        <f t="shared" si="9"/>
        <v>1</v>
      </c>
    </row>
    <row r="640" spans="1:11" x14ac:dyDescent="0.3">
      <c r="A640" t="s">
        <v>648</v>
      </c>
      <c r="B640" s="1">
        <v>45311</v>
      </c>
      <c r="C640" t="s">
        <v>1479</v>
      </c>
      <c r="D640" t="s">
        <v>1849</v>
      </c>
      <c r="E640" t="s">
        <v>1991</v>
      </c>
      <c r="F640" t="s">
        <v>1999</v>
      </c>
      <c r="G640" t="s">
        <v>2003</v>
      </c>
      <c r="H640">
        <v>5</v>
      </c>
      <c r="I640">
        <v>36</v>
      </c>
      <c r="J640">
        <v>180</v>
      </c>
      <c r="K640">
        <f t="shared" si="9"/>
        <v>2</v>
      </c>
    </row>
    <row r="641" spans="1:11" x14ac:dyDescent="0.3">
      <c r="A641" t="s">
        <v>649</v>
      </c>
      <c r="B641" s="1">
        <v>45478</v>
      </c>
      <c r="C641" t="s">
        <v>1317</v>
      </c>
      <c r="D641" t="s">
        <v>1611</v>
      </c>
      <c r="E641" t="s">
        <v>1994</v>
      </c>
      <c r="F641" t="s">
        <v>1996</v>
      </c>
      <c r="G641" t="s">
        <v>1997</v>
      </c>
      <c r="H641">
        <v>1</v>
      </c>
      <c r="I641">
        <v>246</v>
      </c>
      <c r="J641">
        <v>246</v>
      </c>
      <c r="K641">
        <f t="shared" si="9"/>
        <v>2</v>
      </c>
    </row>
    <row r="642" spans="1:11" x14ac:dyDescent="0.3">
      <c r="A642" t="s">
        <v>650</v>
      </c>
      <c r="B642" s="1">
        <v>45499</v>
      </c>
      <c r="C642" t="s">
        <v>1113</v>
      </c>
      <c r="D642" t="s">
        <v>1714</v>
      </c>
      <c r="E642" t="s">
        <v>1991</v>
      </c>
      <c r="F642" t="s">
        <v>1999</v>
      </c>
      <c r="G642" t="s">
        <v>2000</v>
      </c>
      <c r="H642">
        <v>3</v>
      </c>
      <c r="I642">
        <v>44</v>
      </c>
      <c r="J642">
        <v>132</v>
      </c>
      <c r="K642">
        <f t="shared" si="9"/>
        <v>1</v>
      </c>
    </row>
    <row r="643" spans="1:11" x14ac:dyDescent="0.3">
      <c r="A643" t="s">
        <v>651</v>
      </c>
      <c r="B643" s="1">
        <v>45499</v>
      </c>
      <c r="C643" t="s">
        <v>1464</v>
      </c>
      <c r="D643" t="s">
        <v>1714</v>
      </c>
      <c r="E643" t="s">
        <v>1994</v>
      </c>
      <c r="F643" t="s">
        <v>1999</v>
      </c>
      <c r="G643" t="s">
        <v>2000</v>
      </c>
      <c r="H643">
        <v>4</v>
      </c>
      <c r="I643">
        <v>47</v>
      </c>
      <c r="J643">
        <v>188</v>
      </c>
      <c r="K643">
        <f t="shared" ref="K643:K706" si="10">COUNTIF(C643:C1642,C643)</f>
        <v>2</v>
      </c>
    </row>
    <row r="644" spans="1:11" x14ac:dyDescent="0.3">
      <c r="A644" t="s">
        <v>652</v>
      </c>
      <c r="B644" s="1">
        <v>45501</v>
      </c>
      <c r="C644" t="s">
        <v>1052</v>
      </c>
      <c r="D644" t="s">
        <v>1801</v>
      </c>
      <c r="E644" t="s">
        <v>1991</v>
      </c>
      <c r="F644" t="s">
        <v>1992</v>
      </c>
      <c r="G644" t="s">
        <v>1995</v>
      </c>
      <c r="H644">
        <v>5</v>
      </c>
      <c r="I644">
        <v>201</v>
      </c>
      <c r="J644">
        <v>1005</v>
      </c>
      <c r="K644">
        <f t="shared" si="10"/>
        <v>1</v>
      </c>
    </row>
    <row r="645" spans="1:11" x14ac:dyDescent="0.3">
      <c r="A645" t="s">
        <v>653</v>
      </c>
      <c r="B645" s="1">
        <v>45351</v>
      </c>
      <c r="C645" t="s">
        <v>1178</v>
      </c>
      <c r="D645" t="s">
        <v>1621</v>
      </c>
      <c r="E645" t="s">
        <v>1994</v>
      </c>
      <c r="F645" t="s">
        <v>1992</v>
      </c>
      <c r="G645" t="s">
        <v>1993</v>
      </c>
      <c r="H645">
        <v>2</v>
      </c>
      <c r="I645">
        <v>393</v>
      </c>
      <c r="J645">
        <v>786</v>
      </c>
      <c r="K645">
        <f t="shared" si="10"/>
        <v>2</v>
      </c>
    </row>
    <row r="646" spans="1:11" x14ac:dyDescent="0.3">
      <c r="A646" t="s">
        <v>654</v>
      </c>
      <c r="B646" s="1">
        <v>45327</v>
      </c>
      <c r="C646" t="s">
        <v>1160</v>
      </c>
      <c r="D646" t="s">
        <v>1510</v>
      </c>
      <c r="E646" t="s">
        <v>1991</v>
      </c>
      <c r="F646" t="s">
        <v>1992</v>
      </c>
      <c r="G646" t="s">
        <v>1998</v>
      </c>
      <c r="H646">
        <v>2</v>
      </c>
      <c r="I646">
        <v>209</v>
      </c>
      <c r="J646">
        <v>418</v>
      </c>
      <c r="K646">
        <f t="shared" si="10"/>
        <v>1</v>
      </c>
    </row>
    <row r="647" spans="1:11" x14ac:dyDescent="0.3">
      <c r="A647" t="s">
        <v>655</v>
      </c>
      <c r="B647" s="1">
        <v>45391</v>
      </c>
      <c r="C647" t="s">
        <v>1153</v>
      </c>
      <c r="D647" t="s">
        <v>1938</v>
      </c>
      <c r="E647" t="s">
        <v>1991</v>
      </c>
      <c r="F647" t="s">
        <v>1992</v>
      </c>
      <c r="G647" t="s">
        <v>1995</v>
      </c>
      <c r="H647">
        <v>3</v>
      </c>
      <c r="I647">
        <v>233</v>
      </c>
      <c r="J647">
        <v>699</v>
      </c>
      <c r="K647">
        <f t="shared" si="10"/>
        <v>3</v>
      </c>
    </row>
    <row r="648" spans="1:11" x14ac:dyDescent="0.3">
      <c r="A648" t="s">
        <v>656</v>
      </c>
      <c r="B648" s="1">
        <v>45410</v>
      </c>
      <c r="C648" t="s">
        <v>1111</v>
      </c>
      <c r="D648" t="s">
        <v>1965</v>
      </c>
      <c r="E648" t="s">
        <v>1991</v>
      </c>
      <c r="F648" t="s">
        <v>1996</v>
      </c>
      <c r="G648" t="s">
        <v>2004</v>
      </c>
      <c r="H648">
        <v>5</v>
      </c>
      <c r="I648">
        <v>212</v>
      </c>
      <c r="J648">
        <v>1060</v>
      </c>
      <c r="K648">
        <f t="shared" si="10"/>
        <v>1</v>
      </c>
    </row>
    <row r="649" spans="1:11" x14ac:dyDescent="0.3">
      <c r="A649" t="s">
        <v>657</v>
      </c>
      <c r="B649" s="1">
        <v>45554</v>
      </c>
      <c r="C649" t="s">
        <v>1051</v>
      </c>
      <c r="D649" t="s">
        <v>1588</v>
      </c>
      <c r="E649" t="s">
        <v>1991</v>
      </c>
      <c r="F649" t="s">
        <v>1999</v>
      </c>
      <c r="G649" t="s">
        <v>2002</v>
      </c>
      <c r="H649">
        <v>1</v>
      </c>
      <c r="I649">
        <v>37</v>
      </c>
      <c r="J649">
        <v>37</v>
      </c>
      <c r="K649">
        <f t="shared" si="10"/>
        <v>1</v>
      </c>
    </row>
    <row r="650" spans="1:11" x14ac:dyDescent="0.3">
      <c r="A650" t="s">
        <v>658</v>
      </c>
      <c r="B650" s="1">
        <v>45485</v>
      </c>
      <c r="C650" t="s">
        <v>1319</v>
      </c>
      <c r="D650" t="s">
        <v>1717</v>
      </c>
      <c r="E650" t="s">
        <v>1991</v>
      </c>
      <c r="F650" t="s">
        <v>1999</v>
      </c>
      <c r="G650" t="s">
        <v>2002</v>
      </c>
      <c r="H650">
        <v>5</v>
      </c>
      <c r="I650">
        <v>23</v>
      </c>
      <c r="J650">
        <v>115</v>
      </c>
      <c r="K650">
        <f t="shared" si="10"/>
        <v>1</v>
      </c>
    </row>
    <row r="651" spans="1:11" x14ac:dyDescent="0.3">
      <c r="A651" t="s">
        <v>659</v>
      </c>
      <c r="B651" s="1">
        <v>45508</v>
      </c>
      <c r="C651" t="s">
        <v>1090</v>
      </c>
      <c r="D651" t="s">
        <v>1956</v>
      </c>
      <c r="E651" t="s">
        <v>1994</v>
      </c>
      <c r="F651" t="s">
        <v>1992</v>
      </c>
      <c r="G651" t="s">
        <v>1998</v>
      </c>
      <c r="H651">
        <v>3</v>
      </c>
      <c r="I651">
        <v>282</v>
      </c>
      <c r="J651">
        <v>846</v>
      </c>
      <c r="K651">
        <f t="shared" si="10"/>
        <v>1</v>
      </c>
    </row>
    <row r="652" spans="1:11" x14ac:dyDescent="0.3">
      <c r="A652" t="s">
        <v>660</v>
      </c>
      <c r="B652" s="1">
        <v>45515</v>
      </c>
      <c r="C652" t="s">
        <v>1199</v>
      </c>
      <c r="D652" t="s">
        <v>1851</v>
      </c>
      <c r="E652" t="s">
        <v>1994</v>
      </c>
      <c r="F652" t="s">
        <v>1999</v>
      </c>
      <c r="G652" t="s">
        <v>2003</v>
      </c>
      <c r="H652">
        <v>3</v>
      </c>
      <c r="I652">
        <v>31</v>
      </c>
      <c r="J652">
        <v>93</v>
      </c>
      <c r="K652">
        <f t="shared" si="10"/>
        <v>1</v>
      </c>
    </row>
    <row r="653" spans="1:11" x14ac:dyDescent="0.3">
      <c r="A653" t="s">
        <v>661</v>
      </c>
      <c r="B653" s="1">
        <v>45434</v>
      </c>
      <c r="C653" t="s">
        <v>1267</v>
      </c>
      <c r="D653" t="s">
        <v>1656</v>
      </c>
      <c r="E653" t="s">
        <v>1991</v>
      </c>
      <c r="F653" t="s">
        <v>1999</v>
      </c>
      <c r="G653" t="s">
        <v>2000</v>
      </c>
      <c r="H653">
        <v>1</v>
      </c>
      <c r="I653">
        <v>47</v>
      </c>
      <c r="J653">
        <v>47</v>
      </c>
      <c r="K653">
        <f t="shared" si="10"/>
        <v>1</v>
      </c>
    </row>
    <row r="654" spans="1:11" x14ac:dyDescent="0.3">
      <c r="A654" t="s">
        <v>662</v>
      </c>
      <c r="B654" s="1">
        <v>45297</v>
      </c>
      <c r="C654" t="s">
        <v>1134</v>
      </c>
      <c r="D654" t="s">
        <v>1522</v>
      </c>
      <c r="E654" t="s">
        <v>1994</v>
      </c>
      <c r="F654" t="s">
        <v>1996</v>
      </c>
      <c r="G654" t="s">
        <v>1997</v>
      </c>
      <c r="H654">
        <v>4</v>
      </c>
      <c r="I654">
        <v>145</v>
      </c>
      <c r="J654">
        <v>580</v>
      </c>
      <c r="K654">
        <f t="shared" si="10"/>
        <v>1</v>
      </c>
    </row>
    <row r="655" spans="1:11" x14ac:dyDescent="0.3">
      <c r="A655" t="s">
        <v>663</v>
      </c>
      <c r="B655" s="1">
        <v>45536</v>
      </c>
      <c r="C655" t="s">
        <v>1186</v>
      </c>
      <c r="D655" t="s">
        <v>1952</v>
      </c>
      <c r="E655" t="s">
        <v>1991</v>
      </c>
      <c r="F655" t="s">
        <v>1999</v>
      </c>
      <c r="G655" t="s">
        <v>2002</v>
      </c>
      <c r="H655">
        <v>5</v>
      </c>
      <c r="I655">
        <v>18</v>
      </c>
      <c r="J655">
        <v>90</v>
      </c>
      <c r="K655">
        <f t="shared" si="10"/>
        <v>2</v>
      </c>
    </row>
    <row r="656" spans="1:11" x14ac:dyDescent="0.3">
      <c r="A656" t="s">
        <v>664</v>
      </c>
      <c r="B656" s="1">
        <v>45335</v>
      </c>
      <c r="C656" t="s">
        <v>1446</v>
      </c>
      <c r="D656" t="s">
        <v>1848</v>
      </c>
      <c r="E656" t="s">
        <v>1991</v>
      </c>
      <c r="F656" t="s">
        <v>1996</v>
      </c>
      <c r="G656" t="s">
        <v>2001</v>
      </c>
      <c r="H656">
        <v>5</v>
      </c>
      <c r="I656">
        <v>272</v>
      </c>
      <c r="J656">
        <v>1360</v>
      </c>
      <c r="K656">
        <f t="shared" si="10"/>
        <v>2</v>
      </c>
    </row>
    <row r="657" spans="1:11" x14ac:dyDescent="0.3">
      <c r="A657" t="s">
        <v>665</v>
      </c>
      <c r="B657" s="1">
        <v>45423</v>
      </c>
      <c r="C657" t="s">
        <v>1251</v>
      </c>
      <c r="D657" t="s">
        <v>1811</v>
      </c>
      <c r="E657" t="s">
        <v>1994</v>
      </c>
      <c r="F657" t="s">
        <v>1992</v>
      </c>
      <c r="G657" t="s">
        <v>1995</v>
      </c>
      <c r="H657">
        <v>2</v>
      </c>
      <c r="I657">
        <v>442</v>
      </c>
      <c r="J657">
        <v>884</v>
      </c>
      <c r="K657">
        <f t="shared" si="10"/>
        <v>3</v>
      </c>
    </row>
    <row r="658" spans="1:11" x14ac:dyDescent="0.3">
      <c r="A658" t="s">
        <v>666</v>
      </c>
      <c r="B658" s="1">
        <v>45314</v>
      </c>
      <c r="C658" t="s">
        <v>1076</v>
      </c>
      <c r="D658" t="s">
        <v>1607</v>
      </c>
      <c r="E658" t="s">
        <v>1994</v>
      </c>
      <c r="F658" t="s">
        <v>1999</v>
      </c>
      <c r="G658" t="s">
        <v>2002</v>
      </c>
      <c r="H658">
        <v>1</v>
      </c>
      <c r="I658">
        <v>34</v>
      </c>
      <c r="J658">
        <v>34</v>
      </c>
      <c r="K658">
        <f t="shared" si="10"/>
        <v>2</v>
      </c>
    </row>
    <row r="659" spans="1:11" x14ac:dyDescent="0.3">
      <c r="A659" t="s">
        <v>667</v>
      </c>
      <c r="B659" s="1">
        <v>45456</v>
      </c>
      <c r="C659" t="s">
        <v>1191</v>
      </c>
      <c r="D659" t="s">
        <v>1950</v>
      </c>
      <c r="E659" t="s">
        <v>1991</v>
      </c>
      <c r="F659" t="s">
        <v>1992</v>
      </c>
      <c r="G659" t="s">
        <v>1998</v>
      </c>
      <c r="H659">
        <v>2</v>
      </c>
      <c r="I659">
        <v>488</v>
      </c>
      <c r="J659">
        <v>976</v>
      </c>
      <c r="K659">
        <f t="shared" si="10"/>
        <v>2</v>
      </c>
    </row>
    <row r="660" spans="1:11" x14ac:dyDescent="0.3">
      <c r="A660" t="s">
        <v>668</v>
      </c>
      <c r="B660" s="1">
        <v>45500</v>
      </c>
      <c r="C660" t="s">
        <v>1195</v>
      </c>
      <c r="D660" t="s">
        <v>1584</v>
      </c>
      <c r="E660" t="s">
        <v>1994</v>
      </c>
      <c r="F660" t="s">
        <v>1992</v>
      </c>
      <c r="G660" t="s">
        <v>1995</v>
      </c>
      <c r="H660">
        <v>4</v>
      </c>
      <c r="I660">
        <v>403</v>
      </c>
      <c r="J660">
        <v>1612</v>
      </c>
      <c r="K660">
        <f t="shared" si="10"/>
        <v>1</v>
      </c>
    </row>
    <row r="661" spans="1:11" x14ac:dyDescent="0.3">
      <c r="A661" t="s">
        <v>669</v>
      </c>
      <c r="B661" s="1">
        <v>45472</v>
      </c>
      <c r="C661" t="s">
        <v>1216</v>
      </c>
      <c r="D661" t="s">
        <v>1827</v>
      </c>
      <c r="E661" t="s">
        <v>1994</v>
      </c>
      <c r="F661" t="s">
        <v>1996</v>
      </c>
      <c r="G661" t="s">
        <v>2004</v>
      </c>
      <c r="H661">
        <v>3</v>
      </c>
      <c r="I661">
        <v>170</v>
      </c>
      <c r="J661">
        <v>510</v>
      </c>
      <c r="K661">
        <f t="shared" si="10"/>
        <v>1</v>
      </c>
    </row>
    <row r="662" spans="1:11" x14ac:dyDescent="0.3">
      <c r="A662" t="s">
        <v>670</v>
      </c>
      <c r="B662" s="1">
        <v>45509</v>
      </c>
      <c r="C662" t="s">
        <v>1200</v>
      </c>
      <c r="D662" t="s">
        <v>1564</v>
      </c>
      <c r="E662" t="s">
        <v>1994</v>
      </c>
      <c r="F662" t="s">
        <v>1999</v>
      </c>
      <c r="G662" t="s">
        <v>2003</v>
      </c>
      <c r="H662">
        <v>1</v>
      </c>
      <c r="I662">
        <v>28</v>
      </c>
      <c r="J662">
        <v>28</v>
      </c>
      <c r="K662">
        <f t="shared" si="10"/>
        <v>1</v>
      </c>
    </row>
    <row r="663" spans="1:11" x14ac:dyDescent="0.3">
      <c r="A663" t="s">
        <v>671</v>
      </c>
      <c r="B663" s="1">
        <v>45480</v>
      </c>
      <c r="C663" t="s">
        <v>1345</v>
      </c>
      <c r="D663" t="s">
        <v>1580</v>
      </c>
      <c r="E663" t="s">
        <v>1991</v>
      </c>
      <c r="F663" t="s">
        <v>1992</v>
      </c>
      <c r="G663" t="s">
        <v>1998</v>
      </c>
      <c r="H663">
        <v>3</v>
      </c>
      <c r="I663">
        <v>287</v>
      </c>
      <c r="J663">
        <v>861</v>
      </c>
      <c r="K663">
        <f t="shared" si="10"/>
        <v>2</v>
      </c>
    </row>
    <row r="664" spans="1:11" x14ac:dyDescent="0.3">
      <c r="A664" t="s">
        <v>672</v>
      </c>
      <c r="B664" s="1">
        <v>45408</v>
      </c>
      <c r="C664" t="s">
        <v>1165</v>
      </c>
      <c r="D664" t="s">
        <v>1867</v>
      </c>
      <c r="E664" t="s">
        <v>1994</v>
      </c>
      <c r="F664" t="s">
        <v>1996</v>
      </c>
      <c r="G664" t="s">
        <v>1997</v>
      </c>
      <c r="H664">
        <v>2</v>
      </c>
      <c r="I664">
        <v>143</v>
      </c>
      <c r="J664">
        <v>286</v>
      </c>
      <c r="K664">
        <f t="shared" si="10"/>
        <v>1</v>
      </c>
    </row>
    <row r="665" spans="1:11" x14ac:dyDescent="0.3">
      <c r="A665" t="s">
        <v>673</v>
      </c>
      <c r="B665" s="1">
        <v>45472</v>
      </c>
      <c r="C665" t="s">
        <v>1334</v>
      </c>
      <c r="D665" t="s">
        <v>1980</v>
      </c>
      <c r="E665" t="s">
        <v>1991</v>
      </c>
      <c r="F665" t="s">
        <v>1992</v>
      </c>
      <c r="G665" t="s">
        <v>1995</v>
      </c>
      <c r="H665">
        <v>5</v>
      </c>
      <c r="I665">
        <v>298</v>
      </c>
      <c r="J665">
        <v>1490</v>
      </c>
      <c r="K665">
        <f t="shared" si="10"/>
        <v>1</v>
      </c>
    </row>
    <row r="666" spans="1:11" x14ac:dyDescent="0.3">
      <c r="A666" t="s">
        <v>674</v>
      </c>
      <c r="B666" s="1">
        <v>45298</v>
      </c>
      <c r="C666" t="s">
        <v>1471</v>
      </c>
      <c r="D666" t="s">
        <v>1977</v>
      </c>
      <c r="E666" t="s">
        <v>1991</v>
      </c>
      <c r="F666" t="s">
        <v>1992</v>
      </c>
      <c r="G666" t="s">
        <v>1995</v>
      </c>
      <c r="H666">
        <v>5</v>
      </c>
      <c r="I666">
        <v>497</v>
      </c>
      <c r="J666">
        <v>2485</v>
      </c>
      <c r="K666">
        <f t="shared" si="10"/>
        <v>4</v>
      </c>
    </row>
    <row r="667" spans="1:11" x14ac:dyDescent="0.3">
      <c r="A667" t="s">
        <v>675</v>
      </c>
      <c r="B667" s="1">
        <v>45387</v>
      </c>
      <c r="C667" t="s">
        <v>1047</v>
      </c>
      <c r="D667" t="s">
        <v>1535</v>
      </c>
      <c r="E667" t="s">
        <v>1994</v>
      </c>
      <c r="F667" t="s">
        <v>1999</v>
      </c>
      <c r="G667" t="s">
        <v>2000</v>
      </c>
      <c r="H667">
        <v>4</v>
      </c>
      <c r="I667">
        <v>49</v>
      </c>
      <c r="J667">
        <v>196</v>
      </c>
      <c r="K667">
        <f t="shared" si="10"/>
        <v>2</v>
      </c>
    </row>
    <row r="668" spans="1:11" x14ac:dyDescent="0.3">
      <c r="A668" t="s">
        <v>676</v>
      </c>
      <c r="B668" s="1">
        <v>45488</v>
      </c>
      <c r="C668" t="s">
        <v>1418</v>
      </c>
      <c r="D668" t="s">
        <v>1894</v>
      </c>
      <c r="E668" t="s">
        <v>1994</v>
      </c>
      <c r="F668" t="s">
        <v>1999</v>
      </c>
      <c r="G668" t="s">
        <v>2003</v>
      </c>
      <c r="H668">
        <v>5</v>
      </c>
      <c r="I668">
        <v>39</v>
      </c>
      <c r="J668">
        <v>195</v>
      </c>
      <c r="K668">
        <f t="shared" si="10"/>
        <v>1</v>
      </c>
    </row>
    <row r="669" spans="1:11" x14ac:dyDescent="0.3">
      <c r="A669" t="s">
        <v>677</v>
      </c>
      <c r="B669" s="1">
        <v>45456</v>
      </c>
      <c r="C669" t="s">
        <v>1354</v>
      </c>
      <c r="D669" t="s">
        <v>1856</v>
      </c>
      <c r="E669" t="s">
        <v>1994</v>
      </c>
      <c r="F669" t="s">
        <v>1999</v>
      </c>
      <c r="G669" t="s">
        <v>2002</v>
      </c>
      <c r="H669">
        <v>5</v>
      </c>
      <c r="I669">
        <v>40</v>
      </c>
      <c r="J669">
        <v>200</v>
      </c>
      <c r="K669">
        <f t="shared" si="10"/>
        <v>1</v>
      </c>
    </row>
    <row r="670" spans="1:11" x14ac:dyDescent="0.3">
      <c r="A670" t="s">
        <v>678</v>
      </c>
      <c r="B670" s="1">
        <v>45533</v>
      </c>
      <c r="C670" t="s">
        <v>1434</v>
      </c>
      <c r="D670" t="s">
        <v>1674</v>
      </c>
      <c r="E670" t="s">
        <v>1994</v>
      </c>
      <c r="F670" t="s">
        <v>1999</v>
      </c>
      <c r="G670" t="s">
        <v>2003</v>
      </c>
      <c r="H670">
        <v>5</v>
      </c>
      <c r="I670">
        <v>30</v>
      </c>
      <c r="J670">
        <v>150</v>
      </c>
      <c r="K670">
        <f t="shared" si="10"/>
        <v>3</v>
      </c>
    </row>
    <row r="671" spans="1:11" x14ac:dyDescent="0.3">
      <c r="A671" t="s">
        <v>679</v>
      </c>
      <c r="B671" s="1">
        <v>45303</v>
      </c>
      <c r="C671" t="s">
        <v>1341</v>
      </c>
      <c r="D671" t="s">
        <v>1770</v>
      </c>
      <c r="E671" t="s">
        <v>1991</v>
      </c>
      <c r="F671" t="s">
        <v>1996</v>
      </c>
      <c r="G671" t="s">
        <v>2001</v>
      </c>
      <c r="H671">
        <v>5</v>
      </c>
      <c r="I671">
        <v>212</v>
      </c>
      <c r="J671">
        <v>1060</v>
      </c>
      <c r="K671">
        <f t="shared" si="10"/>
        <v>2</v>
      </c>
    </row>
    <row r="672" spans="1:11" x14ac:dyDescent="0.3">
      <c r="A672" t="s">
        <v>680</v>
      </c>
      <c r="B672" s="1">
        <v>45492</v>
      </c>
      <c r="C672" t="s">
        <v>1324</v>
      </c>
      <c r="D672" t="s">
        <v>1923</v>
      </c>
      <c r="E672" t="s">
        <v>1994</v>
      </c>
      <c r="F672" t="s">
        <v>1996</v>
      </c>
      <c r="G672" t="s">
        <v>2004</v>
      </c>
      <c r="H672">
        <v>1</v>
      </c>
      <c r="I672">
        <v>103</v>
      </c>
      <c r="J672">
        <v>103</v>
      </c>
      <c r="K672">
        <f t="shared" si="10"/>
        <v>1</v>
      </c>
    </row>
    <row r="673" spans="1:11" x14ac:dyDescent="0.3">
      <c r="A673" t="s">
        <v>681</v>
      </c>
      <c r="B673" s="1">
        <v>45483</v>
      </c>
      <c r="C673" t="s">
        <v>1412</v>
      </c>
      <c r="D673" t="s">
        <v>1537</v>
      </c>
      <c r="E673" t="s">
        <v>1991</v>
      </c>
      <c r="F673" t="s">
        <v>1992</v>
      </c>
      <c r="G673" t="s">
        <v>1993</v>
      </c>
      <c r="H673">
        <v>4</v>
      </c>
      <c r="I673">
        <v>397</v>
      </c>
      <c r="J673">
        <v>1588</v>
      </c>
      <c r="K673">
        <f t="shared" si="10"/>
        <v>1</v>
      </c>
    </row>
    <row r="674" spans="1:11" x14ac:dyDescent="0.3">
      <c r="A674" t="s">
        <v>682</v>
      </c>
      <c r="B674" s="1">
        <v>45380</v>
      </c>
      <c r="C674" t="s">
        <v>1010</v>
      </c>
      <c r="D674" t="s">
        <v>1688</v>
      </c>
      <c r="E674" t="s">
        <v>1994</v>
      </c>
      <c r="F674" t="s">
        <v>1996</v>
      </c>
      <c r="G674" t="s">
        <v>2004</v>
      </c>
      <c r="H674">
        <v>3</v>
      </c>
      <c r="I674">
        <v>287</v>
      </c>
      <c r="J674">
        <v>861</v>
      </c>
      <c r="K674">
        <f t="shared" si="10"/>
        <v>1</v>
      </c>
    </row>
    <row r="675" spans="1:11" x14ac:dyDescent="0.3">
      <c r="A675" t="s">
        <v>683</v>
      </c>
      <c r="B675" s="1">
        <v>45441</v>
      </c>
      <c r="C675" t="s">
        <v>1475</v>
      </c>
      <c r="D675" t="s">
        <v>1624</v>
      </c>
      <c r="E675" t="s">
        <v>1991</v>
      </c>
      <c r="F675" t="s">
        <v>1992</v>
      </c>
      <c r="G675" t="s">
        <v>1993</v>
      </c>
      <c r="H675">
        <v>5</v>
      </c>
      <c r="I675">
        <v>227</v>
      </c>
      <c r="J675">
        <v>1135</v>
      </c>
      <c r="K675">
        <f t="shared" si="10"/>
        <v>2</v>
      </c>
    </row>
    <row r="676" spans="1:11" x14ac:dyDescent="0.3">
      <c r="A676" t="s">
        <v>684</v>
      </c>
      <c r="B676" s="1">
        <v>45507</v>
      </c>
      <c r="C676" t="s">
        <v>1273</v>
      </c>
      <c r="D676" t="s">
        <v>1952</v>
      </c>
      <c r="E676" t="s">
        <v>1994</v>
      </c>
      <c r="F676" t="s">
        <v>1996</v>
      </c>
      <c r="G676" t="s">
        <v>2001</v>
      </c>
      <c r="H676">
        <v>3</v>
      </c>
      <c r="I676">
        <v>239</v>
      </c>
      <c r="J676">
        <v>717</v>
      </c>
      <c r="K676">
        <f t="shared" si="10"/>
        <v>1</v>
      </c>
    </row>
    <row r="677" spans="1:11" x14ac:dyDescent="0.3">
      <c r="A677" t="s">
        <v>685</v>
      </c>
      <c r="B677" s="1">
        <v>45395</v>
      </c>
      <c r="C677" t="s">
        <v>1137</v>
      </c>
      <c r="D677" t="s">
        <v>1813</v>
      </c>
      <c r="E677" t="s">
        <v>1994</v>
      </c>
      <c r="F677" t="s">
        <v>1996</v>
      </c>
      <c r="G677" t="s">
        <v>2004</v>
      </c>
      <c r="H677">
        <v>1</v>
      </c>
      <c r="I677">
        <v>128</v>
      </c>
      <c r="J677">
        <v>128</v>
      </c>
      <c r="K677">
        <f t="shared" si="10"/>
        <v>2</v>
      </c>
    </row>
    <row r="678" spans="1:11" x14ac:dyDescent="0.3">
      <c r="A678" t="s">
        <v>686</v>
      </c>
      <c r="B678" s="1">
        <v>45485</v>
      </c>
      <c r="C678" t="s">
        <v>1282</v>
      </c>
      <c r="D678" t="s">
        <v>1562</v>
      </c>
      <c r="E678" t="s">
        <v>1991</v>
      </c>
      <c r="F678" t="s">
        <v>1999</v>
      </c>
      <c r="G678" t="s">
        <v>2003</v>
      </c>
      <c r="H678">
        <v>4</v>
      </c>
      <c r="I678">
        <v>38</v>
      </c>
      <c r="J678">
        <v>152</v>
      </c>
      <c r="K678">
        <f t="shared" si="10"/>
        <v>2</v>
      </c>
    </row>
    <row r="679" spans="1:11" x14ac:dyDescent="0.3">
      <c r="A679" t="s">
        <v>687</v>
      </c>
      <c r="B679" s="1">
        <v>45559</v>
      </c>
      <c r="C679" t="s">
        <v>1476</v>
      </c>
      <c r="D679" t="s">
        <v>1950</v>
      </c>
      <c r="E679" t="s">
        <v>1991</v>
      </c>
      <c r="F679" t="s">
        <v>1992</v>
      </c>
      <c r="G679" t="s">
        <v>1995</v>
      </c>
      <c r="H679">
        <v>1</v>
      </c>
      <c r="I679">
        <v>381</v>
      </c>
      <c r="J679">
        <v>381</v>
      </c>
      <c r="K679">
        <f t="shared" si="10"/>
        <v>1</v>
      </c>
    </row>
    <row r="680" spans="1:11" x14ac:dyDescent="0.3">
      <c r="A680" t="s">
        <v>688</v>
      </c>
      <c r="B680" s="1">
        <v>45446</v>
      </c>
      <c r="C680" t="s">
        <v>1423</v>
      </c>
      <c r="D680" t="s">
        <v>1876</v>
      </c>
      <c r="E680" t="s">
        <v>1991</v>
      </c>
      <c r="F680" t="s">
        <v>1999</v>
      </c>
      <c r="G680" t="s">
        <v>2003</v>
      </c>
      <c r="H680">
        <v>5</v>
      </c>
      <c r="I680">
        <v>50</v>
      </c>
      <c r="J680">
        <v>250</v>
      </c>
      <c r="K680">
        <f t="shared" si="10"/>
        <v>1</v>
      </c>
    </row>
    <row r="681" spans="1:11" x14ac:dyDescent="0.3">
      <c r="A681" t="s">
        <v>689</v>
      </c>
      <c r="B681" s="1">
        <v>45438</v>
      </c>
      <c r="C681" t="s">
        <v>1089</v>
      </c>
      <c r="D681" t="s">
        <v>1960</v>
      </c>
      <c r="E681" t="s">
        <v>1991</v>
      </c>
      <c r="F681" t="s">
        <v>1996</v>
      </c>
      <c r="G681" t="s">
        <v>2001</v>
      </c>
      <c r="H681">
        <v>5</v>
      </c>
      <c r="I681">
        <v>190</v>
      </c>
      <c r="J681">
        <v>950</v>
      </c>
      <c r="K681">
        <f t="shared" si="10"/>
        <v>2</v>
      </c>
    </row>
    <row r="682" spans="1:11" x14ac:dyDescent="0.3">
      <c r="A682" t="s">
        <v>690</v>
      </c>
      <c r="B682" s="1">
        <v>45487</v>
      </c>
      <c r="C682" t="s">
        <v>1151</v>
      </c>
      <c r="D682" t="s">
        <v>1709</v>
      </c>
      <c r="E682" t="s">
        <v>1991</v>
      </c>
      <c r="F682" t="s">
        <v>1999</v>
      </c>
      <c r="G682" t="s">
        <v>2003</v>
      </c>
      <c r="H682">
        <v>1</v>
      </c>
      <c r="I682">
        <v>50</v>
      </c>
      <c r="J682">
        <v>50</v>
      </c>
      <c r="K682">
        <f t="shared" si="10"/>
        <v>2</v>
      </c>
    </row>
    <row r="683" spans="1:11" x14ac:dyDescent="0.3">
      <c r="A683" t="s">
        <v>691</v>
      </c>
      <c r="B683" s="1">
        <v>45353</v>
      </c>
      <c r="C683" t="s">
        <v>1249</v>
      </c>
      <c r="D683" t="s">
        <v>1878</v>
      </c>
      <c r="E683" t="s">
        <v>1994</v>
      </c>
      <c r="F683" t="s">
        <v>1996</v>
      </c>
      <c r="G683" t="s">
        <v>2004</v>
      </c>
      <c r="H683">
        <v>5</v>
      </c>
      <c r="I683">
        <v>155</v>
      </c>
      <c r="J683">
        <v>775</v>
      </c>
      <c r="K683">
        <f t="shared" si="10"/>
        <v>1</v>
      </c>
    </row>
    <row r="684" spans="1:11" x14ac:dyDescent="0.3">
      <c r="A684" t="s">
        <v>692</v>
      </c>
      <c r="B684" s="1">
        <v>45452</v>
      </c>
      <c r="C684" t="s">
        <v>1092</v>
      </c>
      <c r="D684" t="s">
        <v>1702</v>
      </c>
      <c r="E684" t="s">
        <v>1991</v>
      </c>
      <c r="F684" t="s">
        <v>1999</v>
      </c>
      <c r="G684" t="s">
        <v>2000</v>
      </c>
      <c r="H684">
        <v>2</v>
      </c>
      <c r="I684">
        <v>27</v>
      </c>
      <c r="J684">
        <v>54</v>
      </c>
      <c r="K684">
        <f t="shared" si="10"/>
        <v>1</v>
      </c>
    </row>
    <row r="685" spans="1:11" x14ac:dyDescent="0.3">
      <c r="A685" t="s">
        <v>693</v>
      </c>
      <c r="B685" s="1">
        <v>45469</v>
      </c>
      <c r="C685" t="s">
        <v>1285</v>
      </c>
      <c r="D685" t="s">
        <v>1950</v>
      </c>
      <c r="E685" t="s">
        <v>1991</v>
      </c>
      <c r="F685" t="s">
        <v>1999</v>
      </c>
      <c r="G685" t="s">
        <v>2000</v>
      </c>
      <c r="H685">
        <v>4</v>
      </c>
      <c r="I685">
        <v>43</v>
      </c>
      <c r="J685">
        <v>172</v>
      </c>
      <c r="K685">
        <f t="shared" si="10"/>
        <v>1</v>
      </c>
    </row>
    <row r="686" spans="1:11" x14ac:dyDescent="0.3">
      <c r="A686" t="s">
        <v>694</v>
      </c>
      <c r="B686" s="1">
        <v>45310</v>
      </c>
      <c r="C686" t="s">
        <v>1118</v>
      </c>
      <c r="D686" t="s">
        <v>1624</v>
      </c>
      <c r="E686" t="s">
        <v>1991</v>
      </c>
      <c r="F686" t="s">
        <v>1992</v>
      </c>
      <c r="G686" t="s">
        <v>1993</v>
      </c>
      <c r="H686">
        <v>1</v>
      </c>
      <c r="I686">
        <v>228</v>
      </c>
      <c r="J686">
        <v>228</v>
      </c>
      <c r="K686">
        <f t="shared" si="10"/>
        <v>3</v>
      </c>
    </row>
    <row r="687" spans="1:11" x14ac:dyDescent="0.3">
      <c r="A687" t="s">
        <v>695</v>
      </c>
      <c r="B687" s="1">
        <v>45359</v>
      </c>
      <c r="C687" t="s">
        <v>1410</v>
      </c>
      <c r="D687" t="s">
        <v>1569</v>
      </c>
      <c r="E687" t="s">
        <v>1994</v>
      </c>
      <c r="F687" t="s">
        <v>1992</v>
      </c>
      <c r="G687" t="s">
        <v>1995</v>
      </c>
      <c r="H687">
        <v>1</v>
      </c>
      <c r="I687">
        <v>405</v>
      </c>
      <c r="J687">
        <v>405</v>
      </c>
      <c r="K687">
        <f t="shared" si="10"/>
        <v>1</v>
      </c>
    </row>
    <row r="688" spans="1:11" x14ac:dyDescent="0.3">
      <c r="A688" t="s">
        <v>696</v>
      </c>
      <c r="B688" s="1">
        <v>45528</v>
      </c>
      <c r="C688" t="s">
        <v>1484</v>
      </c>
      <c r="D688" t="s">
        <v>1586</v>
      </c>
      <c r="E688" t="s">
        <v>1994</v>
      </c>
      <c r="F688" t="s">
        <v>1992</v>
      </c>
      <c r="G688" t="s">
        <v>1998</v>
      </c>
      <c r="H688">
        <v>3</v>
      </c>
      <c r="I688">
        <v>415</v>
      </c>
      <c r="J688">
        <v>1245</v>
      </c>
      <c r="K688">
        <f t="shared" si="10"/>
        <v>1</v>
      </c>
    </row>
    <row r="689" spans="1:11" x14ac:dyDescent="0.3">
      <c r="A689" t="s">
        <v>697</v>
      </c>
      <c r="B689" s="1">
        <v>45360</v>
      </c>
      <c r="C689" t="s">
        <v>1178</v>
      </c>
      <c r="D689" t="s">
        <v>1516</v>
      </c>
      <c r="E689" t="s">
        <v>1991</v>
      </c>
      <c r="F689" t="s">
        <v>1999</v>
      </c>
      <c r="G689" t="s">
        <v>2002</v>
      </c>
      <c r="H689">
        <v>4</v>
      </c>
      <c r="I689">
        <v>40</v>
      </c>
      <c r="J689">
        <v>160</v>
      </c>
      <c r="K689">
        <f t="shared" si="10"/>
        <v>1</v>
      </c>
    </row>
    <row r="690" spans="1:11" x14ac:dyDescent="0.3">
      <c r="A690" t="s">
        <v>698</v>
      </c>
      <c r="B690" s="1">
        <v>45333</v>
      </c>
      <c r="C690" t="s">
        <v>1498</v>
      </c>
      <c r="D690" t="s">
        <v>1866</v>
      </c>
      <c r="E690" t="s">
        <v>1991</v>
      </c>
      <c r="F690" t="s">
        <v>1996</v>
      </c>
      <c r="G690" t="s">
        <v>2004</v>
      </c>
      <c r="H690">
        <v>5</v>
      </c>
      <c r="I690">
        <v>163</v>
      </c>
      <c r="J690">
        <v>815</v>
      </c>
      <c r="K690">
        <f t="shared" si="10"/>
        <v>3</v>
      </c>
    </row>
    <row r="691" spans="1:11" x14ac:dyDescent="0.3">
      <c r="A691" t="s">
        <v>699</v>
      </c>
      <c r="B691" s="1">
        <v>45536</v>
      </c>
      <c r="C691" t="s">
        <v>1058</v>
      </c>
      <c r="D691" t="s">
        <v>1759</v>
      </c>
      <c r="E691" t="s">
        <v>1991</v>
      </c>
      <c r="F691" t="s">
        <v>1996</v>
      </c>
      <c r="G691" t="s">
        <v>2004</v>
      </c>
      <c r="H691">
        <v>1</v>
      </c>
      <c r="I691">
        <v>113</v>
      </c>
      <c r="J691">
        <v>113</v>
      </c>
      <c r="K691">
        <f t="shared" si="10"/>
        <v>1</v>
      </c>
    </row>
    <row r="692" spans="1:11" x14ac:dyDescent="0.3">
      <c r="A692" t="s">
        <v>700</v>
      </c>
      <c r="B692" s="1">
        <v>45322</v>
      </c>
      <c r="C692" t="s">
        <v>1147</v>
      </c>
      <c r="D692" t="s">
        <v>1986</v>
      </c>
      <c r="E692" t="s">
        <v>1994</v>
      </c>
      <c r="F692" t="s">
        <v>1999</v>
      </c>
      <c r="G692" t="s">
        <v>2000</v>
      </c>
      <c r="H692">
        <v>4</v>
      </c>
      <c r="I692">
        <v>39</v>
      </c>
      <c r="J692">
        <v>156</v>
      </c>
      <c r="K692">
        <f t="shared" si="10"/>
        <v>2</v>
      </c>
    </row>
    <row r="693" spans="1:11" x14ac:dyDescent="0.3">
      <c r="A693" t="s">
        <v>701</v>
      </c>
      <c r="B693" s="1">
        <v>45380</v>
      </c>
      <c r="C693" t="s">
        <v>1150</v>
      </c>
      <c r="D693" t="s">
        <v>1542</v>
      </c>
      <c r="E693" t="s">
        <v>1991</v>
      </c>
      <c r="F693" t="s">
        <v>1999</v>
      </c>
      <c r="G693" t="s">
        <v>2002</v>
      </c>
      <c r="H693">
        <v>3</v>
      </c>
      <c r="I693">
        <v>32</v>
      </c>
      <c r="J693">
        <v>96</v>
      </c>
      <c r="K693">
        <f t="shared" si="10"/>
        <v>2</v>
      </c>
    </row>
    <row r="694" spans="1:11" x14ac:dyDescent="0.3">
      <c r="A694" t="s">
        <v>702</v>
      </c>
      <c r="B694" s="1">
        <v>45368</v>
      </c>
      <c r="C694" t="s">
        <v>1074</v>
      </c>
      <c r="D694" t="s">
        <v>1686</v>
      </c>
      <c r="E694" t="s">
        <v>1991</v>
      </c>
      <c r="F694" t="s">
        <v>1992</v>
      </c>
      <c r="G694" t="s">
        <v>1998</v>
      </c>
      <c r="H694">
        <v>5</v>
      </c>
      <c r="I694">
        <v>335</v>
      </c>
      <c r="J694">
        <v>1675</v>
      </c>
      <c r="K694">
        <f t="shared" si="10"/>
        <v>3</v>
      </c>
    </row>
    <row r="695" spans="1:11" x14ac:dyDescent="0.3">
      <c r="A695" t="s">
        <v>703</v>
      </c>
      <c r="B695" s="1">
        <v>45303</v>
      </c>
      <c r="C695" t="s">
        <v>1404</v>
      </c>
      <c r="D695" t="s">
        <v>1769</v>
      </c>
      <c r="E695" t="s">
        <v>1991</v>
      </c>
      <c r="F695" t="s">
        <v>1999</v>
      </c>
      <c r="G695" t="s">
        <v>2003</v>
      </c>
      <c r="H695">
        <v>4</v>
      </c>
      <c r="I695">
        <v>36</v>
      </c>
      <c r="J695">
        <v>144</v>
      </c>
      <c r="K695">
        <f t="shared" si="10"/>
        <v>1</v>
      </c>
    </row>
    <row r="696" spans="1:11" x14ac:dyDescent="0.3">
      <c r="A696" t="s">
        <v>704</v>
      </c>
      <c r="B696" s="1">
        <v>45325</v>
      </c>
      <c r="C696" t="s">
        <v>1409</v>
      </c>
      <c r="D696" t="s">
        <v>1511</v>
      </c>
      <c r="E696" t="s">
        <v>1991</v>
      </c>
      <c r="F696" t="s">
        <v>1999</v>
      </c>
      <c r="G696" t="s">
        <v>2003</v>
      </c>
      <c r="H696">
        <v>4</v>
      </c>
      <c r="I696">
        <v>19</v>
      </c>
      <c r="J696">
        <v>76</v>
      </c>
      <c r="K696">
        <f t="shared" si="10"/>
        <v>1</v>
      </c>
    </row>
    <row r="697" spans="1:11" x14ac:dyDescent="0.3">
      <c r="A697" t="s">
        <v>705</v>
      </c>
      <c r="B697" s="1">
        <v>45502</v>
      </c>
      <c r="C697" t="s">
        <v>1108</v>
      </c>
      <c r="D697" t="s">
        <v>1613</v>
      </c>
      <c r="E697" t="s">
        <v>1994</v>
      </c>
      <c r="F697" t="s">
        <v>1992</v>
      </c>
      <c r="G697" t="s">
        <v>1995</v>
      </c>
      <c r="H697">
        <v>5</v>
      </c>
      <c r="I697">
        <v>428</v>
      </c>
      <c r="J697">
        <v>2140</v>
      </c>
      <c r="K697">
        <f t="shared" si="10"/>
        <v>1</v>
      </c>
    </row>
    <row r="698" spans="1:11" x14ac:dyDescent="0.3">
      <c r="A698" t="s">
        <v>706</v>
      </c>
      <c r="B698" s="1">
        <v>45401</v>
      </c>
      <c r="C698" t="s">
        <v>1197</v>
      </c>
      <c r="D698" t="s">
        <v>1596</v>
      </c>
      <c r="E698" t="s">
        <v>1994</v>
      </c>
      <c r="F698" t="s">
        <v>1996</v>
      </c>
      <c r="G698" t="s">
        <v>2001</v>
      </c>
      <c r="H698">
        <v>3</v>
      </c>
      <c r="I698">
        <v>134</v>
      </c>
      <c r="J698">
        <v>402</v>
      </c>
      <c r="K698">
        <f t="shared" si="10"/>
        <v>3</v>
      </c>
    </row>
    <row r="699" spans="1:11" x14ac:dyDescent="0.3">
      <c r="A699" t="s">
        <v>707</v>
      </c>
      <c r="B699" s="1">
        <v>45563</v>
      </c>
      <c r="C699" t="s">
        <v>1293</v>
      </c>
      <c r="D699" t="s">
        <v>1738</v>
      </c>
      <c r="E699" t="s">
        <v>1994</v>
      </c>
      <c r="F699" t="s">
        <v>1996</v>
      </c>
      <c r="G699" t="s">
        <v>2001</v>
      </c>
      <c r="H699">
        <v>5</v>
      </c>
      <c r="I699">
        <v>120</v>
      </c>
      <c r="J699">
        <v>600</v>
      </c>
      <c r="K699">
        <f t="shared" si="10"/>
        <v>1</v>
      </c>
    </row>
    <row r="700" spans="1:11" x14ac:dyDescent="0.3">
      <c r="A700" t="s">
        <v>708</v>
      </c>
      <c r="B700" s="1">
        <v>45300</v>
      </c>
      <c r="C700" t="s">
        <v>1426</v>
      </c>
      <c r="D700" t="s">
        <v>1602</v>
      </c>
      <c r="E700" t="s">
        <v>1994</v>
      </c>
      <c r="F700" t="s">
        <v>1999</v>
      </c>
      <c r="G700" t="s">
        <v>2002</v>
      </c>
      <c r="H700">
        <v>1</v>
      </c>
      <c r="I700">
        <v>28</v>
      </c>
      <c r="J700">
        <v>28</v>
      </c>
      <c r="K700">
        <f t="shared" si="10"/>
        <v>3</v>
      </c>
    </row>
    <row r="701" spans="1:11" x14ac:dyDescent="0.3">
      <c r="A701" t="s">
        <v>709</v>
      </c>
      <c r="B701" s="1">
        <v>45306</v>
      </c>
      <c r="C701" t="s">
        <v>1150</v>
      </c>
      <c r="D701" t="s">
        <v>1961</v>
      </c>
      <c r="E701" t="s">
        <v>1994</v>
      </c>
      <c r="F701" t="s">
        <v>1992</v>
      </c>
      <c r="G701" t="s">
        <v>1995</v>
      </c>
      <c r="H701">
        <v>3</v>
      </c>
      <c r="I701">
        <v>471</v>
      </c>
      <c r="J701">
        <v>1413</v>
      </c>
      <c r="K701">
        <f t="shared" si="10"/>
        <v>1</v>
      </c>
    </row>
    <row r="702" spans="1:11" x14ac:dyDescent="0.3">
      <c r="A702" t="s">
        <v>710</v>
      </c>
      <c r="B702" s="1">
        <v>45444</v>
      </c>
      <c r="C702" t="s">
        <v>1415</v>
      </c>
      <c r="D702" t="s">
        <v>1721</v>
      </c>
      <c r="E702" t="s">
        <v>1994</v>
      </c>
      <c r="F702" t="s">
        <v>1996</v>
      </c>
      <c r="G702" t="s">
        <v>2004</v>
      </c>
      <c r="H702">
        <v>3</v>
      </c>
      <c r="I702">
        <v>118</v>
      </c>
      <c r="J702">
        <v>354</v>
      </c>
      <c r="K702">
        <f t="shared" si="10"/>
        <v>1</v>
      </c>
    </row>
    <row r="703" spans="1:11" x14ac:dyDescent="0.3">
      <c r="A703" t="s">
        <v>711</v>
      </c>
      <c r="B703" s="1">
        <v>45294</v>
      </c>
      <c r="C703" t="s">
        <v>1348</v>
      </c>
      <c r="D703" t="s">
        <v>1600</v>
      </c>
      <c r="E703" t="s">
        <v>1991</v>
      </c>
      <c r="F703" t="s">
        <v>1996</v>
      </c>
      <c r="G703" t="s">
        <v>1997</v>
      </c>
      <c r="H703">
        <v>2</v>
      </c>
      <c r="I703">
        <v>291</v>
      </c>
      <c r="J703">
        <v>582</v>
      </c>
      <c r="K703">
        <f t="shared" si="10"/>
        <v>2</v>
      </c>
    </row>
    <row r="704" spans="1:11" x14ac:dyDescent="0.3">
      <c r="A704" t="s">
        <v>712</v>
      </c>
      <c r="B704" s="1">
        <v>45368</v>
      </c>
      <c r="C704" t="s">
        <v>1352</v>
      </c>
      <c r="D704" t="s">
        <v>1881</v>
      </c>
      <c r="E704" t="s">
        <v>1991</v>
      </c>
      <c r="F704" t="s">
        <v>1996</v>
      </c>
      <c r="G704" t="s">
        <v>1997</v>
      </c>
      <c r="H704">
        <v>5</v>
      </c>
      <c r="I704">
        <v>265</v>
      </c>
      <c r="J704">
        <v>1325</v>
      </c>
      <c r="K704">
        <f t="shared" si="10"/>
        <v>1</v>
      </c>
    </row>
    <row r="705" spans="1:11" x14ac:dyDescent="0.3">
      <c r="A705" t="s">
        <v>713</v>
      </c>
      <c r="B705" s="1">
        <v>45372</v>
      </c>
      <c r="C705" t="s">
        <v>1154</v>
      </c>
      <c r="D705" t="s">
        <v>1749</v>
      </c>
      <c r="E705" t="s">
        <v>1994</v>
      </c>
      <c r="F705" t="s">
        <v>1999</v>
      </c>
      <c r="G705" t="s">
        <v>2000</v>
      </c>
      <c r="H705">
        <v>4</v>
      </c>
      <c r="I705">
        <v>35</v>
      </c>
      <c r="J705">
        <v>140</v>
      </c>
      <c r="K705">
        <f t="shared" si="10"/>
        <v>1</v>
      </c>
    </row>
    <row r="706" spans="1:11" x14ac:dyDescent="0.3">
      <c r="A706" t="s">
        <v>714</v>
      </c>
      <c r="B706" s="1">
        <v>45455</v>
      </c>
      <c r="C706" t="s">
        <v>1057</v>
      </c>
      <c r="D706" t="s">
        <v>1573</v>
      </c>
      <c r="E706" t="s">
        <v>1994</v>
      </c>
      <c r="F706" t="s">
        <v>1996</v>
      </c>
      <c r="G706" t="s">
        <v>2004</v>
      </c>
      <c r="H706">
        <v>2</v>
      </c>
      <c r="I706">
        <v>109</v>
      </c>
      <c r="J706">
        <v>218</v>
      </c>
      <c r="K706">
        <f t="shared" si="10"/>
        <v>1</v>
      </c>
    </row>
    <row r="707" spans="1:11" x14ac:dyDescent="0.3">
      <c r="A707" t="s">
        <v>715</v>
      </c>
      <c r="B707" s="1">
        <v>45450</v>
      </c>
      <c r="C707" t="s">
        <v>1186</v>
      </c>
      <c r="D707" t="s">
        <v>1700</v>
      </c>
      <c r="E707" t="s">
        <v>1991</v>
      </c>
      <c r="F707" t="s">
        <v>1992</v>
      </c>
      <c r="G707" t="s">
        <v>1995</v>
      </c>
      <c r="H707">
        <v>5</v>
      </c>
      <c r="I707">
        <v>300</v>
      </c>
      <c r="J707">
        <v>1500</v>
      </c>
      <c r="K707">
        <f t="shared" ref="K707:K770" si="11">COUNTIF(C707:C1706,C707)</f>
        <v>1</v>
      </c>
    </row>
    <row r="708" spans="1:11" x14ac:dyDescent="0.3">
      <c r="A708" t="s">
        <v>716</v>
      </c>
      <c r="B708" s="1">
        <v>45536</v>
      </c>
      <c r="C708" t="s">
        <v>1434</v>
      </c>
      <c r="D708" t="s">
        <v>1516</v>
      </c>
      <c r="E708" t="s">
        <v>1991</v>
      </c>
      <c r="F708" t="s">
        <v>1999</v>
      </c>
      <c r="G708" t="s">
        <v>2000</v>
      </c>
      <c r="H708">
        <v>5</v>
      </c>
      <c r="I708">
        <v>48</v>
      </c>
      <c r="J708">
        <v>240</v>
      </c>
      <c r="K708">
        <f t="shared" si="11"/>
        <v>2</v>
      </c>
    </row>
    <row r="709" spans="1:11" x14ac:dyDescent="0.3">
      <c r="A709" t="s">
        <v>717</v>
      </c>
      <c r="B709" s="1">
        <v>45488</v>
      </c>
      <c r="C709" t="s">
        <v>1053</v>
      </c>
      <c r="D709" t="s">
        <v>1985</v>
      </c>
      <c r="E709" t="s">
        <v>1994</v>
      </c>
      <c r="F709" t="s">
        <v>1996</v>
      </c>
      <c r="G709" t="s">
        <v>1997</v>
      </c>
      <c r="H709">
        <v>1</v>
      </c>
      <c r="I709">
        <v>269</v>
      </c>
      <c r="J709">
        <v>269</v>
      </c>
      <c r="K709">
        <f t="shared" si="11"/>
        <v>1</v>
      </c>
    </row>
    <row r="710" spans="1:11" x14ac:dyDescent="0.3">
      <c r="A710" t="s">
        <v>718</v>
      </c>
      <c r="B710" s="1">
        <v>45522</v>
      </c>
      <c r="C710" t="s">
        <v>1452</v>
      </c>
      <c r="D710" t="s">
        <v>1958</v>
      </c>
      <c r="E710" t="s">
        <v>1991</v>
      </c>
      <c r="F710" t="s">
        <v>1999</v>
      </c>
      <c r="G710" t="s">
        <v>2002</v>
      </c>
      <c r="H710">
        <v>3</v>
      </c>
      <c r="I710">
        <v>45</v>
      </c>
      <c r="J710">
        <v>135</v>
      </c>
      <c r="K710">
        <f t="shared" si="11"/>
        <v>2</v>
      </c>
    </row>
    <row r="711" spans="1:11" x14ac:dyDescent="0.3">
      <c r="A711" t="s">
        <v>719</v>
      </c>
      <c r="B711" s="1">
        <v>45292</v>
      </c>
      <c r="C711" t="s">
        <v>1109</v>
      </c>
      <c r="D711" t="s">
        <v>1647</v>
      </c>
      <c r="E711" t="s">
        <v>1994</v>
      </c>
      <c r="F711" t="s">
        <v>1996</v>
      </c>
      <c r="G711" t="s">
        <v>2004</v>
      </c>
      <c r="H711">
        <v>5</v>
      </c>
      <c r="I711">
        <v>298</v>
      </c>
      <c r="J711">
        <v>1490</v>
      </c>
      <c r="K711">
        <f t="shared" si="11"/>
        <v>1</v>
      </c>
    </row>
    <row r="712" spans="1:11" x14ac:dyDescent="0.3">
      <c r="A712" t="s">
        <v>720</v>
      </c>
      <c r="B712" s="1">
        <v>45493</v>
      </c>
      <c r="C712" t="s">
        <v>1130</v>
      </c>
      <c r="D712" t="s">
        <v>1827</v>
      </c>
      <c r="E712" t="s">
        <v>1991</v>
      </c>
      <c r="F712" t="s">
        <v>1992</v>
      </c>
      <c r="G712" t="s">
        <v>1995</v>
      </c>
      <c r="H712">
        <v>4</v>
      </c>
      <c r="I712">
        <v>473</v>
      </c>
      <c r="J712">
        <v>1892</v>
      </c>
      <c r="K712">
        <f t="shared" si="11"/>
        <v>1</v>
      </c>
    </row>
    <row r="713" spans="1:11" x14ac:dyDescent="0.3">
      <c r="A713" t="s">
        <v>721</v>
      </c>
      <c r="B713" s="1">
        <v>45488</v>
      </c>
      <c r="C713" t="s">
        <v>1037</v>
      </c>
      <c r="D713" t="s">
        <v>1797</v>
      </c>
      <c r="E713" t="s">
        <v>1991</v>
      </c>
      <c r="F713" t="s">
        <v>1996</v>
      </c>
      <c r="G713" t="s">
        <v>2004</v>
      </c>
      <c r="H713">
        <v>4</v>
      </c>
      <c r="I713">
        <v>186</v>
      </c>
      <c r="J713">
        <v>744</v>
      </c>
      <c r="K713">
        <f t="shared" si="11"/>
        <v>2</v>
      </c>
    </row>
    <row r="714" spans="1:11" x14ac:dyDescent="0.3">
      <c r="A714" t="s">
        <v>722</v>
      </c>
      <c r="B714" s="1">
        <v>45484</v>
      </c>
      <c r="C714" t="s">
        <v>1197</v>
      </c>
      <c r="D714" t="s">
        <v>1781</v>
      </c>
      <c r="E714" t="s">
        <v>1994</v>
      </c>
      <c r="F714" t="s">
        <v>1992</v>
      </c>
      <c r="G714" t="s">
        <v>1998</v>
      </c>
      <c r="H714">
        <v>5</v>
      </c>
      <c r="I714">
        <v>369</v>
      </c>
      <c r="J714">
        <v>1845</v>
      </c>
      <c r="K714">
        <f t="shared" si="11"/>
        <v>2</v>
      </c>
    </row>
    <row r="715" spans="1:11" x14ac:dyDescent="0.3">
      <c r="A715" t="s">
        <v>723</v>
      </c>
      <c r="B715" s="1">
        <v>45380</v>
      </c>
      <c r="C715" t="s">
        <v>1322</v>
      </c>
      <c r="D715" t="s">
        <v>1557</v>
      </c>
      <c r="E715" t="s">
        <v>1994</v>
      </c>
      <c r="F715" t="s">
        <v>1999</v>
      </c>
      <c r="G715" t="s">
        <v>2002</v>
      </c>
      <c r="H715">
        <v>2</v>
      </c>
      <c r="I715">
        <v>38</v>
      </c>
      <c r="J715">
        <v>76</v>
      </c>
      <c r="K715">
        <f t="shared" si="11"/>
        <v>2</v>
      </c>
    </row>
    <row r="716" spans="1:11" x14ac:dyDescent="0.3">
      <c r="A716" t="s">
        <v>724</v>
      </c>
      <c r="B716" s="1">
        <v>45337</v>
      </c>
      <c r="C716" t="s">
        <v>1043</v>
      </c>
      <c r="D716" t="s">
        <v>1636</v>
      </c>
      <c r="E716" t="s">
        <v>1994</v>
      </c>
      <c r="F716" t="s">
        <v>1992</v>
      </c>
      <c r="G716" t="s">
        <v>1995</v>
      </c>
      <c r="H716">
        <v>1</v>
      </c>
      <c r="I716">
        <v>454</v>
      </c>
      <c r="J716">
        <v>454</v>
      </c>
      <c r="K716">
        <f t="shared" si="11"/>
        <v>2</v>
      </c>
    </row>
    <row r="717" spans="1:11" x14ac:dyDescent="0.3">
      <c r="A717" t="s">
        <v>725</v>
      </c>
      <c r="B717" s="1">
        <v>45409</v>
      </c>
      <c r="C717" t="s">
        <v>1440</v>
      </c>
      <c r="D717" t="s">
        <v>1597</v>
      </c>
      <c r="E717" t="s">
        <v>1991</v>
      </c>
      <c r="F717" t="s">
        <v>1999</v>
      </c>
      <c r="G717" t="s">
        <v>2003</v>
      </c>
      <c r="H717">
        <v>1</v>
      </c>
      <c r="I717">
        <v>15</v>
      </c>
      <c r="J717">
        <v>15</v>
      </c>
      <c r="K717">
        <f t="shared" si="11"/>
        <v>1</v>
      </c>
    </row>
    <row r="718" spans="1:11" x14ac:dyDescent="0.3">
      <c r="A718" t="s">
        <v>726</v>
      </c>
      <c r="B718" s="1">
        <v>45514</v>
      </c>
      <c r="C718" t="s">
        <v>1208</v>
      </c>
      <c r="D718" t="s">
        <v>1859</v>
      </c>
      <c r="E718" t="s">
        <v>1991</v>
      </c>
      <c r="F718" t="s">
        <v>1996</v>
      </c>
      <c r="G718" t="s">
        <v>2004</v>
      </c>
      <c r="H718">
        <v>3</v>
      </c>
      <c r="I718">
        <v>208</v>
      </c>
      <c r="J718">
        <v>624</v>
      </c>
      <c r="K718">
        <f t="shared" si="11"/>
        <v>2</v>
      </c>
    </row>
    <row r="719" spans="1:11" x14ac:dyDescent="0.3">
      <c r="A719" t="s">
        <v>727</v>
      </c>
      <c r="B719" s="1">
        <v>45296</v>
      </c>
      <c r="C719" t="s">
        <v>1280</v>
      </c>
      <c r="D719" t="s">
        <v>1524</v>
      </c>
      <c r="E719" t="s">
        <v>1994</v>
      </c>
      <c r="F719" t="s">
        <v>1996</v>
      </c>
      <c r="G719" t="s">
        <v>1997</v>
      </c>
      <c r="H719">
        <v>1</v>
      </c>
      <c r="I719">
        <v>129</v>
      </c>
      <c r="J719">
        <v>129</v>
      </c>
      <c r="K719">
        <f t="shared" si="11"/>
        <v>1</v>
      </c>
    </row>
    <row r="720" spans="1:11" x14ac:dyDescent="0.3">
      <c r="A720" t="s">
        <v>728</v>
      </c>
      <c r="B720" s="1">
        <v>45344</v>
      </c>
      <c r="C720" t="s">
        <v>1029</v>
      </c>
      <c r="D720" t="s">
        <v>1963</v>
      </c>
      <c r="E720" t="s">
        <v>1994</v>
      </c>
      <c r="F720" t="s">
        <v>1999</v>
      </c>
      <c r="G720" t="s">
        <v>2002</v>
      </c>
      <c r="H720">
        <v>4</v>
      </c>
      <c r="I720">
        <v>37</v>
      </c>
      <c r="J720">
        <v>148</v>
      </c>
      <c r="K720">
        <f t="shared" si="11"/>
        <v>1</v>
      </c>
    </row>
    <row r="721" spans="1:11" x14ac:dyDescent="0.3">
      <c r="A721" t="s">
        <v>729</v>
      </c>
      <c r="B721" s="1">
        <v>45358</v>
      </c>
      <c r="C721" t="s">
        <v>1110</v>
      </c>
      <c r="D721" t="s">
        <v>1847</v>
      </c>
      <c r="E721" t="s">
        <v>1994</v>
      </c>
      <c r="F721" t="s">
        <v>1996</v>
      </c>
      <c r="G721" t="s">
        <v>1997</v>
      </c>
      <c r="H721">
        <v>1</v>
      </c>
      <c r="I721">
        <v>207</v>
      </c>
      <c r="J721">
        <v>207</v>
      </c>
      <c r="K721">
        <f t="shared" si="11"/>
        <v>1</v>
      </c>
    </row>
    <row r="722" spans="1:11" x14ac:dyDescent="0.3">
      <c r="A722" t="s">
        <v>730</v>
      </c>
      <c r="B722" s="1">
        <v>45297</v>
      </c>
      <c r="C722" t="s">
        <v>1211</v>
      </c>
      <c r="D722" t="s">
        <v>1811</v>
      </c>
      <c r="E722" t="s">
        <v>1994</v>
      </c>
      <c r="F722" t="s">
        <v>1999</v>
      </c>
      <c r="G722" t="s">
        <v>2000</v>
      </c>
      <c r="H722">
        <v>4</v>
      </c>
      <c r="I722">
        <v>50</v>
      </c>
      <c r="J722">
        <v>200</v>
      </c>
      <c r="K722">
        <f t="shared" si="11"/>
        <v>2</v>
      </c>
    </row>
    <row r="723" spans="1:11" x14ac:dyDescent="0.3">
      <c r="A723" t="s">
        <v>731</v>
      </c>
      <c r="B723" s="1">
        <v>45499</v>
      </c>
      <c r="C723" t="s">
        <v>1394</v>
      </c>
      <c r="D723" t="s">
        <v>1756</v>
      </c>
      <c r="E723" t="s">
        <v>1994</v>
      </c>
      <c r="F723" t="s">
        <v>1992</v>
      </c>
      <c r="G723" t="s">
        <v>1993</v>
      </c>
      <c r="H723">
        <v>5</v>
      </c>
      <c r="I723">
        <v>203</v>
      </c>
      <c r="J723">
        <v>1015</v>
      </c>
      <c r="K723">
        <f t="shared" si="11"/>
        <v>1</v>
      </c>
    </row>
    <row r="724" spans="1:11" x14ac:dyDescent="0.3">
      <c r="A724" t="s">
        <v>732</v>
      </c>
      <c r="B724" s="1">
        <v>45395</v>
      </c>
      <c r="C724" t="s">
        <v>1196</v>
      </c>
      <c r="D724" t="s">
        <v>1718</v>
      </c>
      <c r="E724" t="s">
        <v>1994</v>
      </c>
      <c r="F724" t="s">
        <v>1996</v>
      </c>
      <c r="G724" t="s">
        <v>1997</v>
      </c>
      <c r="H724">
        <v>1</v>
      </c>
      <c r="I724">
        <v>144</v>
      </c>
      <c r="J724">
        <v>144</v>
      </c>
      <c r="K724">
        <f t="shared" si="11"/>
        <v>3</v>
      </c>
    </row>
    <row r="725" spans="1:11" x14ac:dyDescent="0.3">
      <c r="A725" t="s">
        <v>733</v>
      </c>
      <c r="B725" s="1">
        <v>45560</v>
      </c>
      <c r="C725" t="s">
        <v>1225</v>
      </c>
      <c r="D725" t="s">
        <v>1618</v>
      </c>
      <c r="E725" t="s">
        <v>1994</v>
      </c>
      <c r="F725" t="s">
        <v>1999</v>
      </c>
      <c r="G725" t="s">
        <v>2003</v>
      </c>
      <c r="H725">
        <v>1</v>
      </c>
      <c r="I725">
        <v>26</v>
      </c>
      <c r="J725">
        <v>26</v>
      </c>
      <c r="K725">
        <f t="shared" si="11"/>
        <v>3</v>
      </c>
    </row>
    <row r="726" spans="1:11" x14ac:dyDescent="0.3">
      <c r="A726" t="s">
        <v>734</v>
      </c>
      <c r="B726" s="1">
        <v>45450</v>
      </c>
      <c r="C726" t="s">
        <v>1215</v>
      </c>
      <c r="D726" t="s">
        <v>1831</v>
      </c>
      <c r="E726" t="s">
        <v>1994</v>
      </c>
      <c r="F726" t="s">
        <v>1999</v>
      </c>
      <c r="G726" t="s">
        <v>2000</v>
      </c>
      <c r="H726">
        <v>1</v>
      </c>
      <c r="I726">
        <v>16</v>
      </c>
      <c r="J726">
        <v>16</v>
      </c>
      <c r="K726">
        <f t="shared" si="11"/>
        <v>1</v>
      </c>
    </row>
    <row r="727" spans="1:11" x14ac:dyDescent="0.3">
      <c r="A727" t="s">
        <v>735</v>
      </c>
      <c r="B727" s="1">
        <v>45468</v>
      </c>
      <c r="C727" t="s">
        <v>1426</v>
      </c>
      <c r="D727" t="s">
        <v>1554</v>
      </c>
      <c r="E727" t="s">
        <v>1991</v>
      </c>
      <c r="F727" t="s">
        <v>1992</v>
      </c>
      <c r="G727" t="s">
        <v>1993</v>
      </c>
      <c r="H727">
        <v>1</v>
      </c>
      <c r="I727">
        <v>302</v>
      </c>
      <c r="J727">
        <v>302</v>
      </c>
      <c r="K727">
        <f t="shared" si="11"/>
        <v>2</v>
      </c>
    </row>
    <row r="728" spans="1:11" x14ac:dyDescent="0.3">
      <c r="A728" t="s">
        <v>736</v>
      </c>
      <c r="B728" s="1">
        <v>45337</v>
      </c>
      <c r="C728" t="s">
        <v>1091</v>
      </c>
      <c r="D728" t="s">
        <v>1719</v>
      </c>
      <c r="E728" t="s">
        <v>1991</v>
      </c>
      <c r="F728" t="s">
        <v>1992</v>
      </c>
      <c r="G728" t="s">
        <v>1993</v>
      </c>
      <c r="H728">
        <v>1</v>
      </c>
      <c r="I728">
        <v>397</v>
      </c>
      <c r="J728">
        <v>397</v>
      </c>
      <c r="K728">
        <f t="shared" si="11"/>
        <v>2</v>
      </c>
    </row>
    <row r="729" spans="1:11" x14ac:dyDescent="0.3">
      <c r="A729" t="s">
        <v>737</v>
      </c>
      <c r="B729" s="1">
        <v>45393</v>
      </c>
      <c r="C729" t="s">
        <v>1074</v>
      </c>
      <c r="D729" t="s">
        <v>1927</v>
      </c>
      <c r="E729" t="s">
        <v>1994</v>
      </c>
      <c r="F729" t="s">
        <v>1992</v>
      </c>
      <c r="G729" t="s">
        <v>1995</v>
      </c>
      <c r="H729">
        <v>1</v>
      </c>
      <c r="I729">
        <v>354</v>
      </c>
      <c r="J729">
        <v>354</v>
      </c>
      <c r="K729">
        <f t="shared" si="11"/>
        <v>2</v>
      </c>
    </row>
    <row r="730" spans="1:11" x14ac:dyDescent="0.3">
      <c r="A730" t="s">
        <v>738</v>
      </c>
      <c r="B730" s="1">
        <v>45374</v>
      </c>
      <c r="C730" t="s">
        <v>1153</v>
      </c>
      <c r="D730" t="s">
        <v>1597</v>
      </c>
      <c r="E730" t="s">
        <v>1994</v>
      </c>
      <c r="F730" t="s">
        <v>1999</v>
      </c>
      <c r="G730" t="s">
        <v>2002</v>
      </c>
      <c r="H730">
        <v>5</v>
      </c>
      <c r="I730">
        <v>24</v>
      </c>
      <c r="J730">
        <v>120</v>
      </c>
      <c r="K730">
        <f t="shared" si="11"/>
        <v>2</v>
      </c>
    </row>
    <row r="731" spans="1:11" x14ac:dyDescent="0.3">
      <c r="A731" t="s">
        <v>739</v>
      </c>
      <c r="B731" s="1">
        <v>45351</v>
      </c>
      <c r="C731" t="s">
        <v>1168</v>
      </c>
      <c r="D731" t="s">
        <v>1970</v>
      </c>
      <c r="E731" t="s">
        <v>1991</v>
      </c>
      <c r="F731" t="s">
        <v>1992</v>
      </c>
      <c r="G731" t="s">
        <v>1998</v>
      </c>
      <c r="H731">
        <v>5</v>
      </c>
      <c r="I731">
        <v>377</v>
      </c>
      <c r="J731">
        <v>1885</v>
      </c>
      <c r="K731">
        <f t="shared" si="11"/>
        <v>1</v>
      </c>
    </row>
    <row r="732" spans="1:11" x14ac:dyDescent="0.3">
      <c r="A732" t="s">
        <v>740</v>
      </c>
      <c r="B732" s="1">
        <v>45301</v>
      </c>
      <c r="C732" t="s">
        <v>1045</v>
      </c>
      <c r="D732" t="s">
        <v>1900</v>
      </c>
      <c r="E732" t="s">
        <v>1991</v>
      </c>
      <c r="F732" t="s">
        <v>1999</v>
      </c>
      <c r="G732" t="s">
        <v>2002</v>
      </c>
      <c r="H732">
        <v>4</v>
      </c>
      <c r="I732">
        <v>44</v>
      </c>
      <c r="J732">
        <v>176</v>
      </c>
      <c r="K732">
        <f t="shared" si="11"/>
        <v>1</v>
      </c>
    </row>
    <row r="733" spans="1:11" x14ac:dyDescent="0.3">
      <c r="A733" t="s">
        <v>741</v>
      </c>
      <c r="B733" s="1">
        <v>45521</v>
      </c>
      <c r="C733" t="s">
        <v>1118</v>
      </c>
      <c r="D733" t="s">
        <v>1836</v>
      </c>
      <c r="E733" t="s">
        <v>1994</v>
      </c>
      <c r="F733" t="s">
        <v>1996</v>
      </c>
      <c r="G733" t="s">
        <v>2001</v>
      </c>
      <c r="H733">
        <v>2</v>
      </c>
      <c r="I733">
        <v>243</v>
      </c>
      <c r="J733">
        <v>486</v>
      </c>
      <c r="K733">
        <f t="shared" si="11"/>
        <v>2</v>
      </c>
    </row>
    <row r="734" spans="1:11" x14ac:dyDescent="0.3">
      <c r="A734" t="s">
        <v>742</v>
      </c>
      <c r="B734" s="1">
        <v>45319</v>
      </c>
      <c r="C734" t="s">
        <v>1180</v>
      </c>
      <c r="D734" t="s">
        <v>1928</v>
      </c>
      <c r="E734" t="s">
        <v>1994</v>
      </c>
      <c r="F734" t="s">
        <v>1996</v>
      </c>
      <c r="G734" t="s">
        <v>2001</v>
      </c>
      <c r="H734">
        <v>1</v>
      </c>
      <c r="I734">
        <v>267</v>
      </c>
      <c r="J734">
        <v>267</v>
      </c>
      <c r="K734">
        <f t="shared" si="11"/>
        <v>3</v>
      </c>
    </row>
    <row r="735" spans="1:11" x14ac:dyDescent="0.3">
      <c r="A735" t="s">
        <v>743</v>
      </c>
      <c r="B735" s="1">
        <v>45512</v>
      </c>
      <c r="C735" t="s">
        <v>1135</v>
      </c>
      <c r="D735" t="s">
        <v>1879</v>
      </c>
      <c r="E735" t="s">
        <v>1994</v>
      </c>
      <c r="F735" t="s">
        <v>1992</v>
      </c>
      <c r="G735" t="s">
        <v>1998</v>
      </c>
      <c r="H735">
        <v>3</v>
      </c>
      <c r="I735">
        <v>389</v>
      </c>
      <c r="J735">
        <v>1167</v>
      </c>
      <c r="K735">
        <f t="shared" si="11"/>
        <v>3</v>
      </c>
    </row>
    <row r="736" spans="1:11" x14ac:dyDescent="0.3">
      <c r="A736" t="s">
        <v>744</v>
      </c>
      <c r="B736" s="1">
        <v>45507</v>
      </c>
      <c r="C736" t="s">
        <v>1347</v>
      </c>
      <c r="D736" t="s">
        <v>1952</v>
      </c>
      <c r="E736" t="s">
        <v>1991</v>
      </c>
      <c r="F736" t="s">
        <v>1996</v>
      </c>
      <c r="G736" t="s">
        <v>2004</v>
      </c>
      <c r="H736">
        <v>1</v>
      </c>
      <c r="I736">
        <v>234</v>
      </c>
      <c r="J736">
        <v>234</v>
      </c>
      <c r="K736">
        <f t="shared" si="11"/>
        <v>2</v>
      </c>
    </row>
    <row r="737" spans="1:11" x14ac:dyDescent="0.3">
      <c r="A737" t="s">
        <v>745</v>
      </c>
      <c r="B737" s="1">
        <v>45433</v>
      </c>
      <c r="C737" t="s">
        <v>1250</v>
      </c>
      <c r="D737" t="s">
        <v>1884</v>
      </c>
      <c r="E737" t="s">
        <v>1994</v>
      </c>
      <c r="F737" t="s">
        <v>1992</v>
      </c>
      <c r="G737" t="s">
        <v>1995</v>
      </c>
      <c r="H737">
        <v>1</v>
      </c>
      <c r="I737">
        <v>426</v>
      </c>
      <c r="J737">
        <v>426</v>
      </c>
      <c r="K737">
        <f t="shared" si="11"/>
        <v>3</v>
      </c>
    </row>
    <row r="738" spans="1:11" x14ac:dyDescent="0.3">
      <c r="A738" t="s">
        <v>746</v>
      </c>
      <c r="B738" s="1">
        <v>45345</v>
      </c>
      <c r="C738" t="s">
        <v>1501</v>
      </c>
      <c r="D738" t="s">
        <v>1732</v>
      </c>
      <c r="E738" t="s">
        <v>1991</v>
      </c>
      <c r="F738" t="s">
        <v>1992</v>
      </c>
      <c r="G738" t="s">
        <v>1998</v>
      </c>
      <c r="H738">
        <v>5</v>
      </c>
      <c r="I738">
        <v>319</v>
      </c>
      <c r="J738">
        <v>1595</v>
      </c>
      <c r="K738">
        <f t="shared" si="11"/>
        <v>1</v>
      </c>
    </row>
    <row r="739" spans="1:11" x14ac:dyDescent="0.3">
      <c r="A739" t="s">
        <v>747</v>
      </c>
      <c r="B739" s="1">
        <v>45478</v>
      </c>
      <c r="C739" t="s">
        <v>1265</v>
      </c>
      <c r="D739" t="s">
        <v>1909</v>
      </c>
      <c r="E739" t="s">
        <v>1994</v>
      </c>
      <c r="F739" t="s">
        <v>1992</v>
      </c>
      <c r="G739" t="s">
        <v>1998</v>
      </c>
      <c r="H739">
        <v>2</v>
      </c>
      <c r="I739">
        <v>467</v>
      </c>
      <c r="J739">
        <v>934</v>
      </c>
      <c r="K739">
        <f t="shared" si="11"/>
        <v>2</v>
      </c>
    </row>
    <row r="740" spans="1:11" x14ac:dyDescent="0.3">
      <c r="A740" t="s">
        <v>748</v>
      </c>
      <c r="B740" s="1">
        <v>45295</v>
      </c>
      <c r="C740" t="s">
        <v>1294</v>
      </c>
      <c r="D740" t="s">
        <v>1834</v>
      </c>
      <c r="E740" t="s">
        <v>1991</v>
      </c>
      <c r="F740" t="s">
        <v>1992</v>
      </c>
      <c r="G740" t="s">
        <v>1995</v>
      </c>
      <c r="H740">
        <v>2</v>
      </c>
      <c r="I740">
        <v>371</v>
      </c>
      <c r="J740">
        <v>742</v>
      </c>
      <c r="K740">
        <f t="shared" si="11"/>
        <v>2</v>
      </c>
    </row>
    <row r="741" spans="1:11" x14ac:dyDescent="0.3">
      <c r="A741" t="s">
        <v>749</v>
      </c>
      <c r="B741" s="1">
        <v>45426</v>
      </c>
      <c r="C741" t="s">
        <v>1452</v>
      </c>
      <c r="D741" t="s">
        <v>1984</v>
      </c>
      <c r="E741" t="s">
        <v>1991</v>
      </c>
      <c r="F741" t="s">
        <v>1996</v>
      </c>
      <c r="G741" t="s">
        <v>1997</v>
      </c>
      <c r="H741">
        <v>4</v>
      </c>
      <c r="I741">
        <v>172</v>
      </c>
      <c r="J741">
        <v>688</v>
      </c>
      <c r="K741">
        <f t="shared" si="11"/>
        <v>1</v>
      </c>
    </row>
    <row r="742" spans="1:11" x14ac:dyDescent="0.3">
      <c r="A742" t="s">
        <v>750</v>
      </c>
      <c r="B742" s="1">
        <v>45353</v>
      </c>
      <c r="C742" t="s">
        <v>1196</v>
      </c>
      <c r="D742" t="s">
        <v>1824</v>
      </c>
      <c r="E742" t="s">
        <v>1991</v>
      </c>
      <c r="F742" t="s">
        <v>1996</v>
      </c>
      <c r="G742" t="s">
        <v>2001</v>
      </c>
      <c r="H742">
        <v>1</v>
      </c>
      <c r="I742">
        <v>288</v>
      </c>
      <c r="J742">
        <v>288</v>
      </c>
      <c r="K742">
        <f t="shared" si="11"/>
        <v>2</v>
      </c>
    </row>
    <row r="743" spans="1:11" x14ac:dyDescent="0.3">
      <c r="A743" t="s">
        <v>751</v>
      </c>
      <c r="B743" s="1">
        <v>45317</v>
      </c>
      <c r="C743" t="s">
        <v>1426</v>
      </c>
      <c r="D743" t="s">
        <v>1685</v>
      </c>
      <c r="E743" t="s">
        <v>1991</v>
      </c>
      <c r="F743" t="s">
        <v>1999</v>
      </c>
      <c r="G743" t="s">
        <v>2002</v>
      </c>
      <c r="H743">
        <v>4</v>
      </c>
      <c r="I743">
        <v>24</v>
      </c>
      <c r="J743">
        <v>96</v>
      </c>
      <c r="K743">
        <f t="shared" si="11"/>
        <v>1</v>
      </c>
    </row>
    <row r="744" spans="1:11" x14ac:dyDescent="0.3">
      <c r="A744" t="s">
        <v>752</v>
      </c>
      <c r="B744" s="1">
        <v>45533</v>
      </c>
      <c r="C744" t="s">
        <v>1163</v>
      </c>
      <c r="D744" t="s">
        <v>1923</v>
      </c>
      <c r="E744" t="s">
        <v>1991</v>
      </c>
      <c r="F744" t="s">
        <v>1999</v>
      </c>
      <c r="G744" t="s">
        <v>2003</v>
      </c>
      <c r="H744">
        <v>4</v>
      </c>
      <c r="I744">
        <v>21</v>
      </c>
      <c r="J744">
        <v>84</v>
      </c>
      <c r="K744">
        <f t="shared" si="11"/>
        <v>2</v>
      </c>
    </row>
    <row r="745" spans="1:11" x14ac:dyDescent="0.3">
      <c r="A745" t="s">
        <v>753</v>
      </c>
      <c r="B745" s="1">
        <v>45562</v>
      </c>
      <c r="C745" t="s">
        <v>1147</v>
      </c>
      <c r="D745" t="s">
        <v>1733</v>
      </c>
      <c r="E745" t="s">
        <v>1991</v>
      </c>
      <c r="F745" t="s">
        <v>1992</v>
      </c>
      <c r="G745" t="s">
        <v>1993</v>
      </c>
      <c r="H745">
        <v>5</v>
      </c>
      <c r="I745">
        <v>397</v>
      </c>
      <c r="J745">
        <v>1985</v>
      </c>
      <c r="K745">
        <f t="shared" si="11"/>
        <v>1</v>
      </c>
    </row>
    <row r="746" spans="1:11" x14ac:dyDescent="0.3">
      <c r="A746" t="s">
        <v>754</v>
      </c>
      <c r="B746" s="1">
        <v>45340</v>
      </c>
      <c r="C746" t="s">
        <v>1237</v>
      </c>
      <c r="D746" t="s">
        <v>1830</v>
      </c>
      <c r="E746" t="s">
        <v>1991</v>
      </c>
      <c r="F746" t="s">
        <v>1996</v>
      </c>
      <c r="G746" t="s">
        <v>2004</v>
      </c>
      <c r="H746">
        <v>1</v>
      </c>
      <c r="I746">
        <v>100</v>
      </c>
      <c r="J746">
        <v>100</v>
      </c>
      <c r="K746">
        <f t="shared" si="11"/>
        <v>2</v>
      </c>
    </row>
    <row r="747" spans="1:11" x14ac:dyDescent="0.3">
      <c r="A747" t="s">
        <v>755</v>
      </c>
      <c r="B747" s="1">
        <v>45463</v>
      </c>
      <c r="C747" t="s">
        <v>1442</v>
      </c>
      <c r="D747" t="s">
        <v>1784</v>
      </c>
      <c r="E747" t="s">
        <v>1991</v>
      </c>
      <c r="F747" t="s">
        <v>1996</v>
      </c>
      <c r="G747" t="s">
        <v>2001</v>
      </c>
      <c r="H747">
        <v>3</v>
      </c>
      <c r="I747">
        <v>103</v>
      </c>
      <c r="J747">
        <v>309</v>
      </c>
      <c r="K747">
        <f t="shared" si="11"/>
        <v>2</v>
      </c>
    </row>
    <row r="748" spans="1:11" x14ac:dyDescent="0.3">
      <c r="A748" t="s">
        <v>756</v>
      </c>
      <c r="B748" s="1">
        <v>45473</v>
      </c>
      <c r="C748" t="s">
        <v>1197</v>
      </c>
      <c r="D748" t="s">
        <v>1951</v>
      </c>
      <c r="E748" t="s">
        <v>1991</v>
      </c>
      <c r="F748" t="s">
        <v>1992</v>
      </c>
      <c r="G748" t="s">
        <v>1995</v>
      </c>
      <c r="H748">
        <v>3</v>
      </c>
      <c r="I748">
        <v>421</v>
      </c>
      <c r="J748">
        <v>1263</v>
      </c>
      <c r="K748">
        <f t="shared" si="11"/>
        <v>1</v>
      </c>
    </row>
    <row r="749" spans="1:11" x14ac:dyDescent="0.3">
      <c r="A749" t="s">
        <v>757</v>
      </c>
      <c r="B749" s="1">
        <v>45460</v>
      </c>
      <c r="C749" t="s">
        <v>1463</v>
      </c>
      <c r="D749" t="s">
        <v>1715</v>
      </c>
      <c r="E749" t="s">
        <v>1991</v>
      </c>
      <c r="F749" t="s">
        <v>1999</v>
      </c>
      <c r="G749" t="s">
        <v>2002</v>
      </c>
      <c r="H749">
        <v>5</v>
      </c>
      <c r="I749">
        <v>34</v>
      </c>
      <c r="J749">
        <v>170</v>
      </c>
      <c r="K749">
        <f t="shared" si="11"/>
        <v>1</v>
      </c>
    </row>
    <row r="750" spans="1:11" x14ac:dyDescent="0.3">
      <c r="A750" t="s">
        <v>758</v>
      </c>
      <c r="B750" s="1">
        <v>45486</v>
      </c>
      <c r="C750" t="s">
        <v>1340</v>
      </c>
      <c r="D750" t="s">
        <v>1687</v>
      </c>
      <c r="E750" t="s">
        <v>1991</v>
      </c>
      <c r="F750" t="s">
        <v>1996</v>
      </c>
      <c r="G750" t="s">
        <v>1997</v>
      </c>
      <c r="H750">
        <v>4</v>
      </c>
      <c r="I750">
        <v>213</v>
      </c>
      <c r="J750">
        <v>852</v>
      </c>
      <c r="K750">
        <f t="shared" si="11"/>
        <v>1</v>
      </c>
    </row>
    <row r="751" spans="1:11" x14ac:dyDescent="0.3">
      <c r="A751" t="s">
        <v>759</v>
      </c>
      <c r="B751" s="1">
        <v>45385</v>
      </c>
      <c r="C751" t="s">
        <v>1021</v>
      </c>
      <c r="D751" t="s">
        <v>1742</v>
      </c>
      <c r="E751" t="s">
        <v>1994</v>
      </c>
      <c r="F751" t="s">
        <v>1992</v>
      </c>
      <c r="G751" t="s">
        <v>1995</v>
      </c>
      <c r="H751">
        <v>5</v>
      </c>
      <c r="I751">
        <v>309</v>
      </c>
      <c r="J751">
        <v>1545</v>
      </c>
      <c r="K751">
        <f t="shared" si="11"/>
        <v>1</v>
      </c>
    </row>
    <row r="752" spans="1:11" x14ac:dyDescent="0.3">
      <c r="A752" t="s">
        <v>760</v>
      </c>
      <c r="B752" s="1">
        <v>45308</v>
      </c>
      <c r="C752" t="s">
        <v>1286</v>
      </c>
      <c r="D752" t="s">
        <v>1769</v>
      </c>
      <c r="E752" t="s">
        <v>1994</v>
      </c>
      <c r="F752" t="s">
        <v>1996</v>
      </c>
      <c r="G752" t="s">
        <v>2004</v>
      </c>
      <c r="H752">
        <v>1</v>
      </c>
      <c r="I752">
        <v>119</v>
      </c>
      <c r="J752">
        <v>119</v>
      </c>
      <c r="K752">
        <f t="shared" si="11"/>
        <v>1</v>
      </c>
    </row>
    <row r="753" spans="1:11" x14ac:dyDescent="0.3">
      <c r="A753" t="s">
        <v>761</v>
      </c>
      <c r="B753" s="1">
        <v>45526</v>
      </c>
      <c r="C753" t="s">
        <v>1034</v>
      </c>
      <c r="D753" t="s">
        <v>1605</v>
      </c>
      <c r="E753" t="s">
        <v>1991</v>
      </c>
      <c r="F753" t="s">
        <v>1996</v>
      </c>
      <c r="G753" t="s">
        <v>1997</v>
      </c>
      <c r="H753">
        <v>3</v>
      </c>
      <c r="I753">
        <v>130</v>
      </c>
      <c r="J753">
        <v>390</v>
      </c>
      <c r="K753">
        <f t="shared" si="11"/>
        <v>1</v>
      </c>
    </row>
    <row r="754" spans="1:11" x14ac:dyDescent="0.3">
      <c r="A754" t="s">
        <v>762</v>
      </c>
      <c r="B754" s="1">
        <v>45422</v>
      </c>
      <c r="C754" t="s">
        <v>1482</v>
      </c>
      <c r="D754" t="s">
        <v>1798</v>
      </c>
      <c r="E754" t="s">
        <v>1994</v>
      </c>
      <c r="F754" t="s">
        <v>1999</v>
      </c>
      <c r="G754" t="s">
        <v>2003</v>
      </c>
      <c r="H754">
        <v>3</v>
      </c>
      <c r="I754">
        <v>17</v>
      </c>
      <c r="J754">
        <v>51</v>
      </c>
      <c r="K754">
        <f t="shared" si="11"/>
        <v>2</v>
      </c>
    </row>
    <row r="755" spans="1:11" x14ac:dyDescent="0.3">
      <c r="A755" t="s">
        <v>763</v>
      </c>
      <c r="B755" s="1">
        <v>45493</v>
      </c>
      <c r="C755" t="s">
        <v>1498</v>
      </c>
      <c r="D755" t="s">
        <v>1562</v>
      </c>
      <c r="E755" t="s">
        <v>1994</v>
      </c>
      <c r="F755" t="s">
        <v>1992</v>
      </c>
      <c r="G755" t="s">
        <v>1993</v>
      </c>
      <c r="H755">
        <v>1</v>
      </c>
      <c r="I755">
        <v>290</v>
      </c>
      <c r="J755">
        <v>290</v>
      </c>
      <c r="K755">
        <f t="shared" si="11"/>
        <v>2</v>
      </c>
    </row>
    <row r="756" spans="1:11" x14ac:dyDescent="0.3">
      <c r="A756" t="s">
        <v>764</v>
      </c>
      <c r="B756" s="1">
        <v>45541</v>
      </c>
      <c r="C756" t="s">
        <v>1015</v>
      </c>
      <c r="D756" t="s">
        <v>1884</v>
      </c>
      <c r="E756" t="s">
        <v>1991</v>
      </c>
      <c r="F756" t="s">
        <v>1992</v>
      </c>
      <c r="G756" t="s">
        <v>1995</v>
      </c>
      <c r="H756">
        <v>5</v>
      </c>
      <c r="I756">
        <v>283</v>
      </c>
      <c r="J756">
        <v>1415</v>
      </c>
      <c r="K756">
        <f t="shared" si="11"/>
        <v>1</v>
      </c>
    </row>
    <row r="757" spans="1:11" x14ac:dyDescent="0.3">
      <c r="A757" t="s">
        <v>765</v>
      </c>
      <c r="B757" s="1">
        <v>45381</v>
      </c>
      <c r="C757" t="s">
        <v>1047</v>
      </c>
      <c r="D757" t="s">
        <v>1556</v>
      </c>
      <c r="E757" t="s">
        <v>1994</v>
      </c>
      <c r="F757" t="s">
        <v>1992</v>
      </c>
      <c r="G757" t="s">
        <v>1998</v>
      </c>
      <c r="H757">
        <v>5</v>
      </c>
      <c r="I757">
        <v>473</v>
      </c>
      <c r="J757">
        <v>2365</v>
      </c>
      <c r="K757">
        <f t="shared" si="11"/>
        <v>1</v>
      </c>
    </row>
    <row r="758" spans="1:11" x14ac:dyDescent="0.3">
      <c r="A758" t="s">
        <v>766</v>
      </c>
      <c r="B758" s="1">
        <v>45526</v>
      </c>
      <c r="C758" t="s">
        <v>1025</v>
      </c>
      <c r="D758" t="s">
        <v>1709</v>
      </c>
      <c r="E758" t="s">
        <v>1991</v>
      </c>
      <c r="F758" t="s">
        <v>1996</v>
      </c>
      <c r="G758" t="s">
        <v>2004</v>
      </c>
      <c r="H758">
        <v>5</v>
      </c>
      <c r="I758">
        <v>298</v>
      </c>
      <c r="J758">
        <v>1490</v>
      </c>
      <c r="K758">
        <f t="shared" si="11"/>
        <v>1</v>
      </c>
    </row>
    <row r="759" spans="1:11" x14ac:dyDescent="0.3">
      <c r="A759" t="s">
        <v>767</v>
      </c>
      <c r="B759" s="1">
        <v>45352</v>
      </c>
      <c r="C759" t="s">
        <v>1432</v>
      </c>
      <c r="D759" t="s">
        <v>1753</v>
      </c>
      <c r="E759" t="s">
        <v>1991</v>
      </c>
      <c r="F759" t="s">
        <v>1999</v>
      </c>
      <c r="G759" t="s">
        <v>2000</v>
      </c>
      <c r="H759">
        <v>5</v>
      </c>
      <c r="I759">
        <v>50</v>
      </c>
      <c r="J759">
        <v>250</v>
      </c>
      <c r="K759">
        <f t="shared" si="11"/>
        <v>1</v>
      </c>
    </row>
    <row r="760" spans="1:11" x14ac:dyDescent="0.3">
      <c r="A760" t="s">
        <v>768</v>
      </c>
      <c r="B760" s="1">
        <v>45306</v>
      </c>
      <c r="C760" t="s">
        <v>1225</v>
      </c>
      <c r="D760" t="s">
        <v>1590</v>
      </c>
      <c r="E760" t="s">
        <v>1991</v>
      </c>
      <c r="F760" t="s">
        <v>1999</v>
      </c>
      <c r="G760" t="s">
        <v>2002</v>
      </c>
      <c r="H760">
        <v>1</v>
      </c>
      <c r="I760">
        <v>40</v>
      </c>
      <c r="J760">
        <v>40</v>
      </c>
      <c r="K760">
        <f t="shared" si="11"/>
        <v>2</v>
      </c>
    </row>
    <row r="761" spans="1:11" x14ac:dyDescent="0.3">
      <c r="A761" t="s">
        <v>769</v>
      </c>
      <c r="B761" s="1">
        <v>45358</v>
      </c>
      <c r="C761" t="s">
        <v>1503</v>
      </c>
      <c r="D761" t="s">
        <v>1848</v>
      </c>
      <c r="E761" t="s">
        <v>1991</v>
      </c>
      <c r="F761" t="s">
        <v>1999</v>
      </c>
      <c r="G761" t="s">
        <v>2002</v>
      </c>
      <c r="H761">
        <v>4</v>
      </c>
      <c r="I761">
        <v>20</v>
      </c>
      <c r="J761">
        <v>80</v>
      </c>
      <c r="K761">
        <f t="shared" si="11"/>
        <v>1</v>
      </c>
    </row>
    <row r="762" spans="1:11" x14ac:dyDescent="0.3">
      <c r="A762" t="s">
        <v>770</v>
      </c>
      <c r="B762" s="1">
        <v>45352</v>
      </c>
      <c r="C762" t="s">
        <v>1279</v>
      </c>
      <c r="D762" t="s">
        <v>1770</v>
      </c>
      <c r="E762" t="s">
        <v>1994</v>
      </c>
      <c r="F762" t="s">
        <v>1996</v>
      </c>
      <c r="G762" t="s">
        <v>2004</v>
      </c>
      <c r="H762">
        <v>4</v>
      </c>
      <c r="I762">
        <v>299</v>
      </c>
      <c r="J762">
        <v>1196</v>
      </c>
      <c r="K762">
        <f t="shared" si="11"/>
        <v>1</v>
      </c>
    </row>
    <row r="763" spans="1:11" x14ac:dyDescent="0.3">
      <c r="A763" t="s">
        <v>771</v>
      </c>
      <c r="B763" s="1">
        <v>45458</v>
      </c>
      <c r="C763" t="s">
        <v>1395</v>
      </c>
      <c r="D763" t="s">
        <v>1698</v>
      </c>
      <c r="E763" t="s">
        <v>1991</v>
      </c>
      <c r="F763" t="s">
        <v>1992</v>
      </c>
      <c r="G763" t="s">
        <v>1995</v>
      </c>
      <c r="H763">
        <v>3</v>
      </c>
      <c r="I763">
        <v>293</v>
      </c>
      <c r="J763">
        <v>879</v>
      </c>
      <c r="K763">
        <f t="shared" si="11"/>
        <v>2</v>
      </c>
    </row>
    <row r="764" spans="1:11" x14ac:dyDescent="0.3">
      <c r="A764" t="s">
        <v>772</v>
      </c>
      <c r="B764" s="1">
        <v>45337</v>
      </c>
      <c r="C764" t="s">
        <v>1495</v>
      </c>
      <c r="D764" t="s">
        <v>1615</v>
      </c>
      <c r="E764" t="s">
        <v>1994</v>
      </c>
      <c r="F764" t="s">
        <v>1992</v>
      </c>
      <c r="G764" t="s">
        <v>1995</v>
      </c>
      <c r="H764">
        <v>5</v>
      </c>
      <c r="I764">
        <v>431</v>
      </c>
      <c r="J764">
        <v>2155</v>
      </c>
      <c r="K764">
        <f t="shared" si="11"/>
        <v>1</v>
      </c>
    </row>
    <row r="765" spans="1:11" x14ac:dyDescent="0.3">
      <c r="A765" t="s">
        <v>773</v>
      </c>
      <c r="B765" s="1">
        <v>45492</v>
      </c>
      <c r="C765" t="s">
        <v>1161</v>
      </c>
      <c r="D765" t="s">
        <v>1732</v>
      </c>
      <c r="E765" t="s">
        <v>1994</v>
      </c>
      <c r="F765" t="s">
        <v>1996</v>
      </c>
      <c r="G765" t="s">
        <v>2001</v>
      </c>
      <c r="H765">
        <v>1</v>
      </c>
      <c r="I765">
        <v>214</v>
      </c>
      <c r="J765">
        <v>214</v>
      </c>
      <c r="K765">
        <f t="shared" si="11"/>
        <v>1</v>
      </c>
    </row>
    <row r="766" spans="1:11" x14ac:dyDescent="0.3">
      <c r="A766" t="s">
        <v>774</v>
      </c>
      <c r="B766" s="1">
        <v>45492</v>
      </c>
      <c r="C766" t="s">
        <v>1233</v>
      </c>
      <c r="D766" t="s">
        <v>1778</v>
      </c>
      <c r="E766" t="s">
        <v>1994</v>
      </c>
      <c r="F766" t="s">
        <v>1992</v>
      </c>
      <c r="G766" t="s">
        <v>1993</v>
      </c>
      <c r="H766">
        <v>4</v>
      </c>
      <c r="I766">
        <v>387</v>
      </c>
      <c r="J766">
        <v>1548</v>
      </c>
      <c r="K766">
        <f t="shared" si="11"/>
        <v>1</v>
      </c>
    </row>
    <row r="767" spans="1:11" x14ac:dyDescent="0.3">
      <c r="A767" t="s">
        <v>775</v>
      </c>
      <c r="B767" s="1">
        <v>45387</v>
      </c>
      <c r="C767" t="s">
        <v>1268</v>
      </c>
      <c r="D767" t="s">
        <v>1922</v>
      </c>
      <c r="E767" t="s">
        <v>1994</v>
      </c>
      <c r="F767" t="s">
        <v>1996</v>
      </c>
      <c r="G767" t="s">
        <v>1997</v>
      </c>
      <c r="H767">
        <v>5</v>
      </c>
      <c r="I767">
        <v>159</v>
      </c>
      <c r="J767">
        <v>795</v>
      </c>
      <c r="K767">
        <f t="shared" si="11"/>
        <v>1</v>
      </c>
    </row>
    <row r="768" spans="1:11" x14ac:dyDescent="0.3">
      <c r="A768" t="s">
        <v>776</v>
      </c>
      <c r="B768" s="1">
        <v>45417</v>
      </c>
      <c r="C768" t="s">
        <v>1137</v>
      </c>
      <c r="D768" t="s">
        <v>1860</v>
      </c>
      <c r="E768" t="s">
        <v>1994</v>
      </c>
      <c r="F768" t="s">
        <v>1992</v>
      </c>
      <c r="G768" t="s">
        <v>1995</v>
      </c>
      <c r="H768">
        <v>3</v>
      </c>
      <c r="I768">
        <v>323</v>
      </c>
      <c r="J768">
        <v>969</v>
      </c>
      <c r="K768">
        <f t="shared" si="11"/>
        <v>1</v>
      </c>
    </row>
    <row r="769" spans="1:11" x14ac:dyDescent="0.3">
      <c r="A769" t="s">
        <v>777</v>
      </c>
      <c r="B769" s="1">
        <v>45410</v>
      </c>
      <c r="C769" t="s">
        <v>1281</v>
      </c>
      <c r="D769" t="s">
        <v>1727</v>
      </c>
      <c r="E769" t="s">
        <v>1991</v>
      </c>
      <c r="F769" t="s">
        <v>1996</v>
      </c>
      <c r="G769" t="s">
        <v>2001</v>
      </c>
      <c r="H769">
        <v>4</v>
      </c>
      <c r="I769">
        <v>286</v>
      </c>
      <c r="J769">
        <v>1144</v>
      </c>
      <c r="K769">
        <f t="shared" si="11"/>
        <v>2</v>
      </c>
    </row>
    <row r="770" spans="1:11" x14ac:dyDescent="0.3">
      <c r="A770" t="s">
        <v>778</v>
      </c>
      <c r="B770" s="1">
        <v>45327</v>
      </c>
      <c r="C770" t="s">
        <v>1485</v>
      </c>
      <c r="D770" t="s">
        <v>1580</v>
      </c>
      <c r="E770" t="s">
        <v>1994</v>
      </c>
      <c r="F770" t="s">
        <v>1996</v>
      </c>
      <c r="G770" t="s">
        <v>2001</v>
      </c>
      <c r="H770">
        <v>1</v>
      </c>
      <c r="I770">
        <v>237</v>
      </c>
      <c r="J770">
        <v>237</v>
      </c>
      <c r="K770">
        <f t="shared" si="11"/>
        <v>1</v>
      </c>
    </row>
    <row r="771" spans="1:11" x14ac:dyDescent="0.3">
      <c r="A771" t="s">
        <v>779</v>
      </c>
      <c r="B771" s="1">
        <v>45518</v>
      </c>
      <c r="C771" t="s">
        <v>1261</v>
      </c>
      <c r="D771" t="s">
        <v>1639</v>
      </c>
      <c r="E771" t="s">
        <v>1994</v>
      </c>
      <c r="F771" t="s">
        <v>1999</v>
      </c>
      <c r="G771" t="s">
        <v>2002</v>
      </c>
      <c r="H771">
        <v>1</v>
      </c>
      <c r="I771">
        <v>36</v>
      </c>
      <c r="J771">
        <v>36</v>
      </c>
      <c r="K771">
        <f t="shared" ref="K771:K834" si="12">COUNTIF(C771:C1770,C771)</f>
        <v>2</v>
      </c>
    </row>
    <row r="772" spans="1:11" x14ac:dyDescent="0.3">
      <c r="A772" t="s">
        <v>780</v>
      </c>
      <c r="B772" s="1">
        <v>45524</v>
      </c>
      <c r="C772" t="s">
        <v>1266</v>
      </c>
      <c r="D772" t="s">
        <v>1762</v>
      </c>
      <c r="E772" t="s">
        <v>1994</v>
      </c>
      <c r="F772" t="s">
        <v>1999</v>
      </c>
      <c r="G772" t="s">
        <v>2002</v>
      </c>
      <c r="H772">
        <v>1</v>
      </c>
      <c r="I772">
        <v>28</v>
      </c>
      <c r="J772">
        <v>28</v>
      </c>
      <c r="K772">
        <f t="shared" si="12"/>
        <v>3</v>
      </c>
    </row>
    <row r="773" spans="1:11" x14ac:dyDescent="0.3">
      <c r="A773" t="s">
        <v>781</v>
      </c>
      <c r="B773" s="1">
        <v>45317</v>
      </c>
      <c r="C773" t="s">
        <v>1383</v>
      </c>
      <c r="D773" t="s">
        <v>1656</v>
      </c>
      <c r="E773" t="s">
        <v>1991</v>
      </c>
      <c r="F773" t="s">
        <v>1996</v>
      </c>
      <c r="G773" t="s">
        <v>2001</v>
      </c>
      <c r="H773">
        <v>4</v>
      </c>
      <c r="I773">
        <v>237</v>
      </c>
      <c r="J773">
        <v>948</v>
      </c>
      <c r="K773">
        <f t="shared" si="12"/>
        <v>2</v>
      </c>
    </row>
    <row r="774" spans="1:11" x14ac:dyDescent="0.3">
      <c r="A774" t="s">
        <v>782</v>
      </c>
      <c r="B774" s="1">
        <v>45305</v>
      </c>
      <c r="C774" t="s">
        <v>1237</v>
      </c>
      <c r="D774" t="s">
        <v>1570</v>
      </c>
      <c r="E774" t="s">
        <v>1994</v>
      </c>
      <c r="F774" t="s">
        <v>1999</v>
      </c>
      <c r="G774" t="s">
        <v>2003</v>
      </c>
      <c r="H774">
        <v>4</v>
      </c>
      <c r="I774">
        <v>24</v>
      </c>
      <c r="J774">
        <v>96</v>
      </c>
      <c r="K774">
        <f t="shared" si="12"/>
        <v>1</v>
      </c>
    </row>
    <row r="775" spans="1:11" x14ac:dyDescent="0.3">
      <c r="A775" t="s">
        <v>783</v>
      </c>
      <c r="B775" s="1">
        <v>45550</v>
      </c>
      <c r="C775" t="s">
        <v>1118</v>
      </c>
      <c r="D775" t="s">
        <v>1966</v>
      </c>
      <c r="E775" t="s">
        <v>1991</v>
      </c>
      <c r="F775" t="s">
        <v>1996</v>
      </c>
      <c r="G775" t="s">
        <v>1997</v>
      </c>
      <c r="H775">
        <v>3</v>
      </c>
      <c r="I775">
        <v>128</v>
      </c>
      <c r="J775">
        <v>384</v>
      </c>
      <c r="K775">
        <f t="shared" si="12"/>
        <v>1</v>
      </c>
    </row>
    <row r="776" spans="1:11" x14ac:dyDescent="0.3">
      <c r="A776" t="s">
        <v>784</v>
      </c>
      <c r="B776" s="1">
        <v>45370</v>
      </c>
      <c r="C776" t="s">
        <v>1322</v>
      </c>
      <c r="D776" t="s">
        <v>1569</v>
      </c>
      <c r="E776" t="s">
        <v>1994</v>
      </c>
      <c r="F776" t="s">
        <v>1996</v>
      </c>
      <c r="G776" t="s">
        <v>2001</v>
      </c>
      <c r="H776">
        <v>5</v>
      </c>
      <c r="I776">
        <v>230</v>
      </c>
      <c r="J776">
        <v>1150</v>
      </c>
      <c r="K776">
        <f t="shared" si="12"/>
        <v>1</v>
      </c>
    </row>
    <row r="777" spans="1:11" x14ac:dyDescent="0.3">
      <c r="A777" t="s">
        <v>785</v>
      </c>
      <c r="B777" s="1">
        <v>45542</v>
      </c>
      <c r="C777" t="s">
        <v>1070</v>
      </c>
      <c r="D777" t="s">
        <v>1575</v>
      </c>
      <c r="E777" t="s">
        <v>1994</v>
      </c>
      <c r="F777" t="s">
        <v>1996</v>
      </c>
      <c r="G777" t="s">
        <v>1997</v>
      </c>
      <c r="H777">
        <v>5</v>
      </c>
      <c r="I777">
        <v>158</v>
      </c>
      <c r="J777">
        <v>790</v>
      </c>
      <c r="K777">
        <f t="shared" si="12"/>
        <v>2</v>
      </c>
    </row>
    <row r="778" spans="1:11" x14ac:dyDescent="0.3">
      <c r="A778" t="s">
        <v>786</v>
      </c>
      <c r="B778" s="1">
        <v>45502</v>
      </c>
      <c r="C778" t="s">
        <v>1013</v>
      </c>
      <c r="D778" t="s">
        <v>1982</v>
      </c>
      <c r="E778" t="s">
        <v>1991</v>
      </c>
      <c r="F778" t="s">
        <v>1996</v>
      </c>
      <c r="G778" t="s">
        <v>2001</v>
      </c>
      <c r="H778">
        <v>3</v>
      </c>
      <c r="I778">
        <v>202</v>
      </c>
      <c r="J778">
        <v>606</v>
      </c>
      <c r="K778">
        <f t="shared" si="12"/>
        <v>1</v>
      </c>
    </row>
    <row r="779" spans="1:11" x14ac:dyDescent="0.3">
      <c r="A779" t="s">
        <v>787</v>
      </c>
      <c r="B779" s="1">
        <v>45555</v>
      </c>
      <c r="C779" t="s">
        <v>1329</v>
      </c>
      <c r="D779" t="s">
        <v>1596</v>
      </c>
      <c r="E779" t="s">
        <v>1994</v>
      </c>
      <c r="F779" t="s">
        <v>1992</v>
      </c>
      <c r="G779" t="s">
        <v>1995</v>
      </c>
      <c r="H779">
        <v>2</v>
      </c>
      <c r="I779">
        <v>426</v>
      </c>
      <c r="J779">
        <v>852</v>
      </c>
      <c r="K779">
        <f t="shared" si="12"/>
        <v>2</v>
      </c>
    </row>
    <row r="780" spans="1:11" x14ac:dyDescent="0.3">
      <c r="A780" t="s">
        <v>788</v>
      </c>
      <c r="B780" s="1">
        <v>45425</v>
      </c>
      <c r="C780" t="s">
        <v>1180</v>
      </c>
      <c r="D780" t="s">
        <v>1762</v>
      </c>
      <c r="E780" t="s">
        <v>1994</v>
      </c>
      <c r="F780" t="s">
        <v>1996</v>
      </c>
      <c r="G780" t="s">
        <v>2001</v>
      </c>
      <c r="H780">
        <v>3</v>
      </c>
      <c r="I780">
        <v>140</v>
      </c>
      <c r="J780">
        <v>420</v>
      </c>
      <c r="K780">
        <f t="shared" si="12"/>
        <v>2</v>
      </c>
    </row>
    <row r="781" spans="1:11" x14ac:dyDescent="0.3">
      <c r="A781" t="s">
        <v>789</v>
      </c>
      <c r="B781" s="1">
        <v>45312</v>
      </c>
      <c r="C781" t="s">
        <v>1505</v>
      </c>
      <c r="D781" t="s">
        <v>1932</v>
      </c>
      <c r="E781" t="s">
        <v>1994</v>
      </c>
      <c r="F781" t="s">
        <v>1996</v>
      </c>
      <c r="G781" t="s">
        <v>2001</v>
      </c>
      <c r="H781">
        <v>2</v>
      </c>
      <c r="I781">
        <v>254</v>
      </c>
      <c r="J781">
        <v>508</v>
      </c>
      <c r="K781">
        <f t="shared" si="12"/>
        <v>2</v>
      </c>
    </row>
    <row r="782" spans="1:11" x14ac:dyDescent="0.3">
      <c r="A782" t="s">
        <v>790</v>
      </c>
      <c r="B782" s="1">
        <v>45478</v>
      </c>
      <c r="C782" t="s">
        <v>1505</v>
      </c>
      <c r="D782" t="s">
        <v>1910</v>
      </c>
      <c r="E782" t="s">
        <v>1994</v>
      </c>
      <c r="F782" t="s">
        <v>1992</v>
      </c>
      <c r="G782" t="s">
        <v>1995</v>
      </c>
      <c r="H782">
        <v>5</v>
      </c>
      <c r="I782">
        <v>445</v>
      </c>
      <c r="J782">
        <v>2225</v>
      </c>
      <c r="K782">
        <f t="shared" si="12"/>
        <v>1</v>
      </c>
    </row>
    <row r="783" spans="1:11" x14ac:dyDescent="0.3">
      <c r="A783" t="s">
        <v>791</v>
      </c>
      <c r="B783" s="1">
        <v>45363</v>
      </c>
      <c r="C783" t="s">
        <v>1470</v>
      </c>
      <c r="D783" t="s">
        <v>1911</v>
      </c>
      <c r="E783" t="s">
        <v>1991</v>
      </c>
      <c r="F783" t="s">
        <v>1992</v>
      </c>
      <c r="G783" t="s">
        <v>1998</v>
      </c>
      <c r="H783">
        <v>4</v>
      </c>
      <c r="I783">
        <v>422</v>
      </c>
      <c r="J783">
        <v>1688</v>
      </c>
      <c r="K783">
        <f t="shared" si="12"/>
        <v>1</v>
      </c>
    </row>
    <row r="784" spans="1:11" x14ac:dyDescent="0.3">
      <c r="A784" t="s">
        <v>792</v>
      </c>
      <c r="B784" s="1">
        <v>45562</v>
      </c>
      <c r="C784" t="s">
        <v>1383</v>
      </c>
      <c r="D784" t="s">
        <v>1790</v>
      </c>
      <c r="E784" t="s">
        <v>1991</v>
      </c>
      <c r="F784" t="s">
        <v>1996</v>
      </c>
      <c r="G784" t="s">
        <v>2004</v>
      </c>
      <c r="H784">
        <v>5</v>
      </c>
      <c r="I784">
        <v>240</v>
      </c>
      <c r="J784">
        <v>1200</v>
      </c>
      <c r="K784">
        <f t="shared" si="12"/>
        <v>1</v>
      </c>
    </row>
    <row r="785" spans="1:11" x14ac:dyDescent="0.3">
      <c r="A785" t="s">
        <v>793</v>
      </c>
      <c r="B785" s="1">
        <v>45354</v>
      </c>
      <c r="C785" t="s">
        <v>1120</v>
      </c>
      <c r="D785" t="s">
        <v>1624</v>
      </c>
      <c r="E785" t="s">
        <v>1994</v>
      </c>
      <c r="F785" t="s">
        <v>1996</v>
      </c>
      <c r="G785" t="s">
        <v>2001</v>
      </c>
      <c r="H785">
        <v>5</v>
      </c>
      <c r="I785">
        <v>268</v>
      </c>
      <c r="J785">
        <v>1340</v>
      </c>
      <c r="K785">
        <f t="shared" si="12"/>
        <v>2</v>
      </c>
    </row>
    <row r="786" spans="1:11" x14ac:dyDescent="0.3">
      <c r="A786" t="s">
        <v>794</v>
      </c>
      <c r="B786" s="1">
        <v>45548</v>
      </c>
      <c r="C786" t="s">
        <v>1049</v>
      </c>
      <c r="D786" t="s">
        <v>1731</v>
      </c>
      <c r="E786" t="s">
        <v>1991</v>
      </c>
      <c r="F786" t="s">
        <v>1999</v>
      </c>
      <c r="G786" t="s">
        <v>2002</v>
      </c>
      <c r="H786">
        <v>5</v>
      </c>
      <c r="I786">
        <v>47</v>
      </c>
      <c r="J786">
        <v>235</v>
      </c>
      <c r="K786">
        <f t="shared" si="12"/>
        <v>1</v>
      </c>
    </row>
    <row r="787" spans="1:11" x14ac:dyDescent="0.3">
      <c r="A787" t="s">
        <v>795</v>
      </c>
      <c r="B787" s="1">
        <v>45438</v>
      </c>
      <c r="C787" t="s">
        <v>1105</v>
      </c>
      <c r="D787" t="s">
        <v>1520</v>
      </c>
      <c r="E787" t="s">
        <v>1994</v>
      </c>
      <c r="F787" t="s">
        <v>1996</v>
      </c>
      <c r="G787" t="s">
        <v>1997</v>
      </c>
      <c r="H787">
        <v>1</v>
      </c>
      <c r="I787">
        <v>222</v>
      </c>
      <c r="J787">
        <v>222</v>
      </c>
      <c r="K787">
        <f t="shared" si="12"/>
        <v>2</v>
      </c>
    </row>
    <row r="788" spans="1:11" x14ac:dyDescent="0.3">
      <c r="A788" t="s">
        <v>796</v>
      </c>
      <c r="B788" s="1">
        <v>45532</v>
      </c>
      <c r="C788" t="s">
        <v>1428</v>
      </c>
      <c r="D788" t="s">
        <v>1826</v>
      </c>
      <c r="E788" t="s">
        <v>1994</v>
      </c>
      <c r="F788" t="s">
        <v>1999</v>
      </c>
      <c r="G788" t="s">
        <v>2000</v>
      </c>
      <c r="H788">
        <v>2</v>
      </c>
      <c r="I788">
        <v>33</v>
      </c>
      <c r="J788">
        <v>66</v>
      </c>
      <c r="K788">
        <f t="shared" si="12"/>
        <v>1</v>
      </c>
    </row>
    <row r="789" spans="1:11" x14ac:dyDescent="0.3">
      <c r="A789" t="s">
        <v>797</v>
      </c>
      <c r="B789" s="1">
        <v>45496</v>
      </c>
      <c r="C789" t="s">
        <v>1456</v>
      </c>
      <c r="D789" t="s">
        <v>1738</v>
      </c>
      <c r="E789" t="s">
        <v>1994</v>
      </c>
      <c r="F789" t="s">
        <v>1992</v>
      </c>
      <c r="G789" t="s">
        <v>1998</v>
      </c>
      <c r="H789">
        <v>3</v>
      </c>
      <c r="I789">
        <v>492</v>
      </c>
      <c r="J789">
        <v>1476</v>
      </c>
      <c r="K789">
        <f t="shared" si="12"/>
        <v>2</v>
      </c>
    </row>
    <row r="790" spans="1:11" x14ac:dyDescent="0.3">
      <c r="A790" t="s">
        <v>798</v>
      </c>
      <c r="B790" s="1">
        <v>45335</v>
      </c>
      <c r="C790" t="s">
        <v>1281</v>
      </c>
      <c r="D790" t="s">
        <v>1791</v>
      </c>
      <c r="E790" t="s">
        <v>1994</v>
      </c>
      <c r="F790" t="s">
        <v>1992</v>
      </c>
      <c r="G790" t="s">
        <v>1995</v>
      </c>
      <c r="H790">
        <v>2</v>
      </c>
      <c r="I790">
        <v>394</v>
      </c>
      <c r="J790">
        <v>788</v>
      </c>
      <c r="K790">
        <f t="shared" si="12"/>
        <v>1</v>
      </c>
    </row>
    <row r="791" spans="1:11" x14ac:dyDescent="0.3">
      <c r="A791" t="s">
        <v>799</v>
      </c>
      <c r="B791" s="1">
        <v>45510</v>
      </c>
      <c r="C791" t="s">
        <v>1223</v>
      </c>
      <c r="D791" t="s">
        <v>1954</v>
      </c>
      <c r="E791" t="s">
        <v>1994</v>
      </c>
      <c r="F791" t="s">
        <v>1996</v>
      </c>
      <c r="G791" t="s">
        <v>2001</v>
      </c>
      <c r="H791">
        <v>5</v>
      </c>
      <c r="I791">
        <v>282</v>
      </c>
      <c r="J791">
        <v>1410</v>
      </c>
      <c r="K791">
        <f t="shared" si="12"/>
        <v>1</v>
      </c>
    </row>
    <row r="792" spans="1:11" x14ac:dyDescent="0.3">
      <c r="A792" t="s">
        <v>800</v>
      </c>
      <c r="B792" s="1">
        <v>45420</v>
      </c>
      <c r="C792" t="s">
        <v>1347</v>
      </c>
      <c r="D792" t="s">
        <v>1657</v>
      </c>
      <c r="E792" t="s">
        <v>1994</v>
      </c>
      <c r="F792" t="s">
        <v>1992</v>
      </c>
      <c r="G792" t="s">
        <v>1995</v>
      </c>
      <c r="H792">
        <v>2</v>
      </c>
      <c r="I792">
        <v>347</v>
      </c>
      <c r="J792">
        <v>694</v>
      </c>
      <c r="K792">
        <f t="shared" si="12"/>
        <v>1</v>
      </c>
    </row>
    <row r="793" spans="1:11" x14ac:dyDescent="0.3">
      <c r="A793" t="s">
        <v>801</v>
      </c>
      <c r="B793" s="1">
        <v>45550</v>
      </c>
      <c r="C793" t="s">
        <v>1135</v>
      </c>
      <c r="D793" t="s">
        <v>1981</v>
      </c>
      <c r="E793" t="s">
        <v>1991</v>
      </c>
      <c r="F793" t="s">
        <v>1992</v>
      </c>
      <c r="G793" t="s">
        <v>1993</v>
      </c>
      <c r="H793">
        <v>4</v>
      </c>
      <c r="I793">
        <v>398</v>
      </c>
      <c r="J793">
        <v>1592</v>
      </c>
      <c r="K793">
        <f t="shared" si="12"/>
        <v>2</v>
      </c>
    </row>
    <row r="794" spans="1:11" x14ac:dyDescent="0.3">
      <c r="A794" t="s">
        <v>802</v>
      </c>
      <c r="B794" s="1">
        <v>45421</v>
      </c>
      <c r="C794" t="s">
        <v>1302</v>
      </c>
      <c r="D794" t="s">
        <v>1837</v>
      </c>
      <c r="E794" t="s">
        <v>1994</v>
      </c>
      <c r="F794" t="s">
        <v>1999</v>
      </c>
      <c r="G794" t="s">
        <v>2003</v>
      </c>
      <c r="H794">
        <v>2</v>
      </c>
      <c r="I794">
        <v>13</v>
      </c>
      <c r="J794">
        <v>26</v>
      </c>
      <c r="K794">
        <f t="shared" si="12"/>
        <v>1</v>
      </c>
    </row>
    <row r="795" spans="1:11" x14ac:dyDescent="0.3">
      <c r="A795" t="s">
        <v>803</v>
      </c>
      <c r="B795" s="1">
        <v>45473</v>
      </c>
      <c r="C795" t="s">
        <v>1086</v>
      </c>
      <c r="D795" t="s">
        <v>1851</v>
      </c>
      <c r="E795" t="s">
        <v>1991</v>
      </c>
      <c r="F795" t="s">
        <v>1999</v>
      </c>
      <c r="G795" t="s">
        <v>2002</v>
      </c>
      <c r="H795">
        <v>2</v>
      </c>
      <c r="I795">
        <v>40</v>
      </c>
      <c r="J795">
        <v>80</v>
      </c>
      <c r="K795">
        <f t="shared" si="12"/>
        <v>1</v>
      </c>
    </row>
    <row r="796" spans="1:11" x14ac:dyDescent="0.3">
      <c r="A796" t="s">
        <v>804</v>
      </c>
      <c r="B796" s="1">
        <v>45373</v>
      </c>
      <c r="C796" t="s">
        <v>1181</v>
      </c>
      <c r="D796" t="s">
        <v>1625</v>
      </c>
      <c r="E796" t="s">
        <v>1991</v>
      </c>
      <c r="F796" t="s">
        <v>1992</v>
      </c>
      <c r="G796" t="s">
        <v>1993</v>
      </c>
      <c r="H796">
        <v>3</v>
      </c>
      <c r="I796">
        <v>335</v>
      </c>
      <c r="J796">
        <v>1005</v>
      </c>
      <c r="K796">
        <f t="shared" si="12"/>
        <v>1</v>
      </c>
    </row>
    <row r="797" spans="1:11" x14ac:dyDescent="0.3">
      <c r="A797" t="s">
        <v>805</v>
      </c>
      <c r="B797" s="1">
        <v>45455</v>
      </c>
      <c r="C797" t="s">
        <v>1229</v>
      </c>
      <c r="D797" t="s">
        <v>1548</v>
      </c>
      <c r="E797" t="s">
        <v>1994</v>
      </c>
      <c r="F797" t="s">
        <v>1992</v>
      </c>
      <c r="G797" t="s">
        <v>1993</v>
      </c>
      <c r="H797">
        <v>3</v>
      </c>
      <c r="I797">
        <v>492</v>
      </c>
      <c r="J797">
        <v>1476</v>
      </c>
      <c r="K797">
        <f t="shared" si="12"/>
        <v>1</v>
      </c>
    </row>
    <row r="798" spans="1:11" x14ac:dyDescent="0.3">
      <c r="A798" t="s">
        <v>806</v>
      </c>
      <c r="B798" s="1">
        <v>45538</v>
      </c>
      <c r="C798" t="s">
        <v>1387</v>
      </c>
      <c r="D798" t="s">
        <v>1590</v>
      </c>
      <c r="E798" t="s">
        <v>1991</v>
      </c>
      <c r="F798" t="s">
        <v>1999</v>
      </c>
      <c r="G798" t="s">
        <v>2000</v>
      </c>
      <c r="H798">
        <v>5</v>
      </c>
      <c r="I798">
        <v>37</v>
      </c>
      <c r="J798">
        <v>185</v>
      </c>
      <c r="K798">
        <f t="shared" si="12"/>
        <v>2</v>
      </c>
    </row>
    <row r="799" spans="1:11" x14ac:dyDescent="0.3">
      <c r="A799" t="s">
        <v>807</v>
      </c>
      <c r="B799" s="1">
        <v>45341</v>
      </c>
      <c r="C799" t="s">
        <v>1402</v>
      </c>
      <c r="D799" t="s">
        <v>1976</v>
      </c>
      <c r="E799" t="s">
        <v>1991</v>
      </c>
      <c r="F799" t="s">
        <v>1992</v>
      </c>
      <c r="G799" t="s">
        <v>1995</v>
      </c>
      <c r="H799">
        <v>3</v>
      </c>
      <c r="I799">
        <v>413</v>
      </c>
      <c r="J799">
        <v>1239</v>
      </c>
      <c r="K799">
        <f t="shared" si="12"/>
        <v>2</v>
      </c>
    </row>
    <row r="800" spans="1:11" x14ac:dyDescent="0.3">
      <c r="A800" t="s">
        <v>808</v>
      </c>
      <c r="B800" s="1">
        <v>45470</v>
      </c>
      <c r="C800" t="s">
        <v>1250</v>
      </c>
      <c r="D800" t="s">
        <v>1758</v>
      </c>
      <c r="E800" t="s">
        <v>1991</v>
      </c>
      <c r="F800" t="s">
        <v>1996</v>
      </c>
      <c r="G800" t="s">
        <v>2004</v>
      </c>
      <c r="H800">
        <v>5</v>
      </c>
      <c r="I800">
        <v>212</v>
      </c>
      <c r="J800">
        <v>1060</v>
      </c>
      <c r="K800">
        <f t="shared" si="12"/>
        <v>2</v>
      </c>
    </row>
    <row r="801" spans="1:11" x14ac:dyDescent="0.3">
      <c r="A801" t="s">
        <v>809</v>
      </c>
      <c r="B801" s="1">
        <v>45361</v>
      </c>
      <c r="C801" t="s">
        <v>1424</v>
      </c>
      <c r="D801" t="s">
        <v>1847</v>
      </c>
      <c r="E801" t="s">
        <v>1994</v>
      </c>
      <c r="F801" t="s">
        <v>1996</v>
      </c>
      <c r="G801" t="s">
        <v>1997</v>
      </c>
      <c r="H801">
        <v>5</v>
      </c>
      <c r="I801">
        <v>215</v>
      </c>
      <c r="J801">
        <v>1075</v>
      </c>
      <c r="K801">
        <f t="shared" si="12"/>
        <v>1</v>
      </c>
    </row>
    <row r="802" spans="1:11" x14ac:dyDescent="0.3">
      <c r="A802" t="s">
        <v>810</v>
      </c>
      <c r="B802" s="1">
        <v>45362</v>
      </c>
      <c r="C802" t="s">
        <v>1224</v>
      </c>
      <c r="D802" t="s">
        <v>1906</v>
      </c>
      <c r="E802" t="s">
        <v>1994</v>
      </c>
      <c r="F802" t="s">
        <v>1996</v>
      </c>
      <c r="G802" t="s">
        <v>1997</v>
      </c>
      <c r="H802">
        <v>1</v>
      </c>
      <c r="I802">
        <v>247</v>
      </c>
      <c r="J802">
        <v>247</v>
      </c>
      <c r="K802">
        <f t="shared" si="12"/>
        <v>1</v>
      </c>
    </row>
    <row r="803" spans="1:11" x14ac:dyDescent="0.3">
      <c r="A803" t="s">
        <v>811</v>
      </c>
      <c r="B803" s="1">
        <v>45467</v>
      </c>
      <c r="C803" t="s">
        <v>1238</v>
      </c>
      <c r="D803" t="s">
        <v>1700</v>
      </c>
      <c r="E803" t="s">
        <v>1994</v>
      </c>
      <c r="F803" t="s">
        <v>1996</v>
      </c>
      <c r="G803" t="s">
        <v>1997</v>
      </c>
      <c r="H803">
        <v>2</v>
      </c>
      <c r="I803">
        <v>120</v>
      </c>
      <c r="J803">
        <v>240</v>
      </c>
      <c r="K803">
        <f t="shared" si="12"/>
        <v>1</v>
      </c>
    </row>
    <row r="804" spans="1:11" x14ac:dyDescent="0.3">
      <c r="A804" t="s">
        <v>812</v>
      </c>
      <c r="B804" s="1">
        <v>45508</v>
      </c>
      <c r="C804" t="s">
        <v>1446</v>
      </c>
      <c r="D804" t="s">
        <v>1870</v>
      </c>
      <c r="E804" t="s">
        <v>1991</v>
      </c>
      <c r="F804" t="s">
        <v>1996</v>
      </c>
      <c r="G804" t="s">
        <v>2001</v>
      </c>
      <c r="H804">
        <v>2</v>
      </c>
      <c r="I804">
        <v>184</v>
      </c>
      <c r="J804">
        <v>368</v>
      </c>
      <c r="K804">
        <f t="shared" si="12"/>
        <v>1</v>
      </c>
    </row>
    <row r="805" spans="1:11" x14ac:dyDescent="0.3">
      <c r="A805" t="s">
        <v>813</v>
      </c>
      <c r="B805" s="1">
        <v>45334</v>
      </c>
      <c r="C805" t="s">
        <v>1243</v>
      </c>
      <c r="D805" t="s">
        <v>1660</v>
      </c>
      <c r="E805" t="s">
        <v>1994</v>
      </c>
      <c r="F805" t="s">
        <v>1992</v>
      </c>
      <c r="G805" t="s">
        <v>1993</v>
      </c>
      <c r="H805">
        <v>1</v>
      </c>
      <c r="I805">
        <v>436</v>
      </c>
      <c r="J805">
        <v>436</v>
      </c>
      <c r="K805">
        <f t="shared" si="12"/>
        <v>3</v>
      </c>
    </row>
    <row r="806" spans="1:11" x14ac:dyDescent="0.3">
      <c r="A806" t="s">
        <v>814</v>
      </c>
      <c r="B806" s="1">
        <v>45307</v>
      </c>
      <c r="C806" t="s">
        <v>1493</v>
      </c>
      <c r="D806" t="s">
        <v>1704</v>
      </c>
      <c r="E806" t="s">
        <v>1994</v>
      </c>
      <c r="F806" t="s">
        <v>1992</v>
      </c>
      <c r="G806" t="s">
        <v>1998</v>
      </c>
      <c r="H806">
        <v>5</v>
      </c>
      <c r="I806">
        <v>383</v>
      </c>
      <c r="J806">
        <v>1915</v>
      </c>
      <c r="K806">
        <f t="shared" si="12"/>
        <v>1</v>
      </c>
    </row>
    <row r="807" spans="1:11" x14ac:dyDescent="0.3">
      <c r="A807" t="s">
        <v>815</v>
      </c>
      <c r="B807" s="1">
        <v>45562</v>
      </c>
      <c r="C807" t="s">
        <v>1266</v>
      </c>
      <c r="D807" t="s">
        <v>1569</v>
      </c>
      <c r="E807" t="s">
        <v>1991</v>
      </c>
      <c r="F807" t="s">
        <v>1996</v>
      </c>
      <c r="G807" t="s">
        <v>1997</v>
      </c>
      <c r="H807">
        <v>5</v>
      </c>
      <c r="I807">
        <v>284</v>
      </c>
      <c r="J807">
        <v>1420</v>
      </c>
      <c r="K807">
        <f t="shared" si="12"/>
        <v>2</v>
      </c>
    </row>
    <row r="808" spans="1:11" x14ac:dyDescent="0.3">
      <c r="A808" t="s">
        <v>816</v>
      </c>
      <c r="B808" s="1">
        <v>45538</v>
      </c>
      <c r="C808" t="s">
        <v>1206</v>
      </c>
      <c r="D808" t="s">
        <v>1512</v>
      </c>
      <c r="E808" t="s">
        <v>1991</v>
      </c>
      <c r="F808" t="s">
        <v>1999</v>
      </c>
      <c r="G808" t="s">
        <v>2000</v>
      </c>
      <c r="H808">
        <v>3</v>
      </c>
      <c r="I808">
        <v>23</v>
      </c>
      <c r="J808">
        <v>69</v>
      </c>
      <c r="K808">
        <f t="shared" si="12"/>
        <v>3</v>
      </c>
    </row>
    <row r="809" spans="1:11" x14ac:dyDescent="0.3">
      <c r="A809" t="s">
        <v>817</v>
      </c>
      <c r="B809" s="1">
        <v>45536</v>
      </c>
      <c r="C809" t="s">
        <v>1251</v>
      </c>
      <c r="D809" t="s">
        <v>1742</v>
      </c>
      <c r="E809" t="s">
        <v>1994</v>
      </c>
      <c r="F809" t="s">
        <v>1992</v>
      </c>
      <c r="G809" t="s">
        <v>1998</v>
      </c>
      <c r="H809">
        <v>1</v>
      </c>
      <c r="I809">
        <v>414</v>
      </c>
      <c r="J809">
        <v>414</v>
      </c>
      <c r="K809">
        <f t="shared" si="12"/>
        <v>2</v>
      </c>
    </row>
    <row r="810" spans="1:11" x14ac:dyDescent="0.3">
      <c r="A810" t="s">
        <v>818</v>
      </c>
      <c r="B810" s="1">
        <v>45354</v>
      </c>
      <c r="C810" t="s">
        <v>1066</v>
      </c>
      <c r="D810" t="s">
        <v>1804</v>
      </c>
      <c r="E810" t="s">
        <v>1991</v>
      </c>
      <c r="F810" t="s">
        <v>1999</v>
      </c>
      <c r="G810" t="s">
        <v>2002</v>
      </c>
      <c r="H810">
        <v>3</v>
      </c>
      <c r="I810">
        <v>17</v>
      </c>
      <c r="J810">
        <v>51</v>
      </c>
      <c r="K810">
        <f t="shared" si="12"/>
        <v>1</v>
      </c>
    </row>
    <row r="811" spans="1:11" x14ac:dyDescent="0.3">
      <c r="A811" t="s">
        <v>819</v>
      </c>
      <c r="B811" s="1">
        <v>45384</v>
      </c>
      <c r="C811" t="s">
        <v>1208</v>
      </c>
      <c r="D811" t="s">
        <v>1962</v>
      </c>
      <c r="E811" t="s">
        <v>1994</v>
      </c>
      <c r="F811" t="s">
        <v>1996</v>
      </c>
      <c r="G811" t="s">
        <v>2004</v>
      </c>
      <c r="H811">
        <v>4</v>
      </c>
      <c r="I811">
        <v>138</v>
      </c>
      <c r="J811">
        <v>552</v>
      </c>
      <c r="K811">
        <f t="shared" si="12"/>
        <v>1</v>
      </c>
    </row>
    <row r="812" spans="1:11" x14ac:dyDescent="0.3">
      <c r="A812" t="s">
        <v>820</v>
      </c>
      <c r="B812" s="1">
        <v>45348</v>
      </c>
      <c r="C812" t="s">
        <v>1349</v>
      </c>
      <c r="D812" t="s">
        <v>1808</v>
      </c>
      <c r="E812" t="s">
        <v>1991</v>
      </c>
      <c r="F812" t="s">
        <v>1999</v>
      </c>
      <c r="G812" t="s">
        <v>2003</v>
      </c>
      <c r="H812">
        <v>1</v>
      </c>
      <c r="I812">
        <v>33</v>
      </c>
      <c r="J812">
        <v>33</v>
      </c>
      <c r="K812">
        <f t="shared" si="12"/>
        <v>1</v>
      </c>
    </row>
    <row r="813" spans="1:11" x14ac:dyDescent="0.3">
      <c r="A813" t="s">
        <v>821</v>
      </c>
      <c r="B813" s="1">
        <v>45472</v>
      </c>
      <c r="C813" t="s">
        <v>1345</v>
      </c>
      <c r="D813" t="s">
        <v>1871</v>
      </c>
      <c r="E813" t="s">
        <v>1991</v>
      </c>
      <c r="F813" t="s">
        <v>1996</v>
      </c>
      <c r="G813" t="s">
        <v>2004</v>
      </c>
      <c r="H813">
        <v>5</v>
      </c>
      <c r="I813">
        <v>263</v>
      </c>
      <c r="J813">
        <v>1315</v>
      </c>
      <c r="K813">
        <f t="shared" si="12"/>
        <v>1</v>
      </c>
    </row>
    <row r="814" spans="1:11" x14ac:dyDescent="0.3">
      <c r="A814" t="s">
        <v>822</v>
      </c>
      <c r="B814" s="1">
        <v>45354</v>
      </c>
      <c r="C814" t="s">
        <v>1327</v>
      </c>
      <c r="D814" t="s">
        <v>1828</v>
      </c>
      <c r="E814" t="s">
        <v>1991</v>
      </c>
      <c r="F814" t="s">
        <v>1996</v>
      </c>
      <c r="G814" t="s">
        <v>1997</v>
      </c>
      <c r="H814">
        <v>5</v>
      </c>
      <c r="I814">
        <v>140</v>
      </c>
      <c r="J814">
        <v>700</v>
      </c>
      <c r="K814">
        <f t="shared" si="12"/>
        <v>1</v>
      </c>
    </row>
    <row r="815" spans="1:11" x14ac:dyDescent="0.3">
      <c r="A815" t="s">
        <v>823</v>
      </c>
      <c r="B815" s="1">
        <v>45341</v>
      </c>
      <c r="C815" t="s">
        <v>1358</v>
      </c>
      <c r="D815" t="s">
        <v>1686</v>
      </c>
      <c r="E815" t="s">
        <v>1991</v>
      </c>
      <c r="F815" t="s">
        <v>1996</v>
      </c>
      <c r="G815" t="s">
        <v>2004</v>
      </c>
      <c r="H815">
        <v>4</v>
      </c>
      <c r="I815">
        <v>165</v>
      </c>
      <c r="J815">
        <v>660</v>
      </c>
      <c r="K815">
        <f t="shared" si="12"/>
        <v>1</v>
      </c>
    </row>
    <row r="816" spans="1:11" x14ac:dyDescent="0.3">
      <c r="A816" t="s">
        <v>824</v>
      </c>
      <c r="B816" s="1">
        <v>45335</v>
      </c>
      <c r="C816" t="s">
        <v>1218</v>
      </c>
      <c r="D816" t="s">
        <v>1860</v>
      </c>
      <c r="E816" t="s">
        <v>1994</v>
      </c>
      <c r="F816" t="s">
        <v>1992</v>
      </c>
      <c r="G816" t="s">
        <v>1993</v>
      </c>
      <c r="H816">
        <v>1</v>
      </c>
      <c r="I816">
        <v>481</v>
      </c>
      <c r="J816">
        <v>481</v>
      </c>
      <c r="K816">
        <f t="shared" si="12"/>
        <v>1</v>
      </c>
    </row>
    <row r="817" spans="1:11" x14ac:dyDescent="0.3">
      <c r="A817" t="s">
        <v>825</v>
      </c>
      <c r="B817" s="1">
        <v>45313</v>
      </c>
      <c r="C817" t="s">
        <v>1487</v>
      </c>
      <c r="D817" t="s">
        <v>1704</v>
      </c>
      <c r="E817" t="s">
        <v>1991</v>
      </c>
      <c r="F817" t="s">
        <v>1996</v>
      </c>
      <c r="G817" t="s">
        <v>2001</v>
      </c>
      <c r="H817">
        <v>1</v>
      </c>
      <c r="I817">
        <v>207</v>
      </c>
      <c r="J817">
        <v>207</v>
      </c>
      <c r="K817">
        <f t="shared" si="12"/>
        <v>3</v>
      </c>
    </row>
    <row r="818" spans="1:11" x14ac:dyDescent="0.3">
      <c r="A818" t="s">
        <v>826</v>
      </c>
      <c r="B818" s="1">
        <v>45366</v>
      </c>
      <c r="C818" t="s">
        <v>1475</v>
      </c>
      <c r="D818" t="s">
        <v>1553</v>
      </c>
      <c r="E818" t="s">
        <v>1991</v>
      </c>
      <c r="F818" t="s">
        <v>1992</v>
      </c>
      <c r="G818" t="s">
        <v>1993</v>
      </c>
      <c r="H818">
        <v>2</v>
      </c>
      <c r="I818">
        <v>448</v>
      </c>
      <c r="J818">
        <v>896</v>
      </c>
      <c r="K818">
        <f t="shared" si="12"/>
        <v>1</v>
      </c>
    </row>
    <row r="819" spans="1:11" x14ac:dyDescent="0.3">
      <c r="A819" t="s">
        <v>827</v>
      </c>
      <c r="B819" s="1">
        <v>45538</v>
      </c>
      <c r="C819" t="s">
        <v>1321</v>
      </c>
      <c r="D819" t="s">
        <v>1646</v>
      </c>
      <c r="E819" t="s">
        <v>1991</v>
      </c>
      <c r="F819" t="s">
        <v>1999</v>
      </c>
      <c r="G819" t="s">
        <v>2003</v>
      </c>
      <c r="H819">
        <v>5</v>
      </c>
      <c r="I819">
        <v>45</v>
      </c>
      <c r="J819">
        <v>225</v>
      </c>
      <c r="K819">
        <f t="shared" si="12"/>
        <v>1</v>
      </c>
    </row>
    <row r="820" spans="1:11" x14ac:dyDescent="0.3">
      <c r="A820" t="s">
        <v>828</v>
      </c>
      <c r="B820" s="1">
        <v>45428</v>
      </c>
      <c r="C820" t="s">
        <v>1387</v>
      </c>
      <c r="D820" t="s">
        <v>1738</v>
      </c>
      <c r="E820" t="s">
        <v>1991</v>
      </c>
      <c r="F820" t="s">
        <v>1992</v>
      </c>
      <c r="G820" t="s">
        <v>1993</v>
      </c>
      <c r="H820">
        <v>4</v>
      </c>
      <c r="I820">
        <v>263</v>
      </c>
      <c r="J820">
        <v>1052</v>
      </c>
      <c r="K820">
        <f t="shared" si="12"/>
        <v>1</v>
      </c>
    </row>
    <row r="821" spans="1:11" x14ac:dyDescent="0.3">
      <c r="A821" t="s">
        <v>829</v>
      </c>
      <c r="B821" s="1">
        <v>45532</v>
      </c>
      <c r="C821" t="s">
        <v>1205</v>
      </c>
      <c r="D821" t="s">
        <v>1533</v>
      </c>
      <c r="E821" t="s">
        <v>1991</v>
      </c>
      <c r="F821" t="s">
        <v>1996</v>
      </c>
      <c r="G821" t="s">
        <v>1997</v>
      </c>
      <c r="H821">
        <v>5</v>
      </c>
      <c r="I821">
        <v>260</v>
      </c>
      <c r="J821">
        <v>1300</v>
      </c>
      <c r="K821">
        <f t="shared" si="12"/>
        <v>1</v>
      </c>
    </row>
    <row r="822" spans="1:11" x14ac:dyDescent="0.3">
      <c r="A822" t="s">
        <v>830</v>
      </c>
      <c r="B822" s="1">
        <v>45531</v>
      </c>
      <c r="C822" t="s">
        <v>1206</v>
      </c>
      <c r="D822" t="s">
        <v>1783</v>
      </c>
      <c r="E822" t="s">
        <v>1994</v>
      </c>
      <c r="F822" t="s">
        <v>1996</v>
      </c>
      <c r="G822" t="s">
        <v>2004</v>
      </c>
      <c r="H822">
        <v>2</v>
      </c>
      <c r="I822">
        <v>271</v>
      </c>
      <c r="J822">
        <v>542</v>
      </c>
      <c r="K822">
        <f t="shared" si="12"/>
        <v>2</v>
      </c>
    </row>
    <row r="823" spans="1:11" x14ac:dyDescent="0.3">
      <c r="A823" t="s">
        <v>831</v>
      </c>
      <c r="B823" s="1">
        <v>45366</v>
      </c>
      <c r="C823" t="s">
        <v>1307</v>
      </c>
      <c r="D823" t="s">
        <v>1531</v>
      </c>
      <c r="E823" t="s">
        <v>1991</v>
      </c>
      <c r="F823" t="s">
        <v>1999</v>
      </c>
      <c r="G823" t="s">
        <v>2002</v>
      </c>
      <c r="H823">
        <v>5</v>
      </c>
      <c r="I823">
        <v>17</v>
      </c>
      <c r="J823">
        <v>85</v>
      </c>
      <c r="K823">
        <f t="shared" si="12"/>
        <v>1</v>
      </c>
    </row>
    <row r="824" spans="1:11" x14ac:dyDescent="0.3">
      <c r="A824" t="s">
        <v>832</v>
      </c>
      <c r="B824" s="1">
        <v>45437</v>
      </c>
      <c r="C824" t="s">
        <v>1089</v>
      </c>
      <c r="D824" t="s">
        <v>1889</v>
      </c>
      <c r="E824" t="s">
        <v>1994</v>
      </c>
      <c r="F824" t="s">
        <v>1999</v>
      </c>
      <c r="G824" t="s">
        <v>2000</v>
      </c>
      <c r="H824">
        <v>2</v>
      </c>
      <c r="I824">
        <v>20</v>
      </c>
      <c r="J824">
        <v>40</v>
      </c>
      <c r="K824">
        <f t="shared" si="12"/>
        <v>1</v>
      </c>
    </row>
    <row r="825" spans="1:11" x14ac:dyDescent="0.3">
      <c r="A825" t="s">
        <v>833</v>
      </c>
      <c r="B825" s="1">
        <v>45347</v>
      </c>
      <c r="C825" t="s">
        <v>1371</v>
      </c>
      <c r="D825" t="s">
        <v>1719</v>
      </c>
      <c r="E825" t="s">
        <v>1991</v>
      </c>
      <c r="F825" t="s">
        <v>1992</v>
      </c>
      <c r="G825" t="s">
        <v>1995</v>
      </c>
      <c r="H825">
        <v>5</v>
      </c>
      <c r="I825">
        <v>319</v>
      </c>
      <c r="J825">
        <v>1595</v>
      </c>
      <c r="K825">
        <f t="shared" si="12"/>
        <v>1</v>
      </c>
    </row>
    <row r="826" spans="1:11" x14ac:dyDescent="0.3">
      <c r="A826" t="s">
        <v>834</v>
      </c>
      <c r="B826" s="1">
        <v>45561</v>
      </c>
      <c r="C826" t="s">
        <v>1462</v>
      </c>
      <c r="D826" t="s">
        <v>1740</v>
      </c>
      <c r="E826" t="s">
        <v>1991</v>
      </c>
      <c r="F826" t="s">
        <v>1996</v>
      </c>
      <c r="G826" t="s">
        <v>2001</v>
      </c>
      <c r="H826">
        <v>1</v>
      </c>
      <c r="I826">
        <v>196</v>
      </c>
      <c r="J826">
        <v>196</v>
      </c>
      <c r="K826">
        <f t="shared" si="12"/>
        <v>1</v>
      </c>
    </row>
    <row r="827" spans="1:11" x14ac:dyDescent="0.3">
      <c r="A827" t="s">
        <v>835</v>
      </c>
      <c r="B827" s="1">
        <v>45450</v>
      </c>
      <c r="C827" t="s">
        <v>1477</v>
      </c>
      <c r="D827" t="s">
        <v>1731</v>
      </c>
      <c r="E827" t="s">
        <v>1991</v>
      </c>
      <c r="F827" t="s">
        <v>1999</v>
      </c>
      <c r="G827" t="s">
        <v>2002</v>
      </c>
      <c r="H827">
        <v>2</v>
      </c>
      <c r="I827">
        <v>24</v>
      </c>
      <c r="J827">
        <v>48</v>
      </c>
      <c r="K827">
        <f t="shared" si="12"/>
        <v>1</v>
      </c>
    </row>
    <row r="828" spans="1:11" x14ac:dyDescent="0.3">
      <c r="A828" t="s">
        <v>836</v>
      </c>
      <c r="B828" s="1">
        <v>45406</v>
      </c>
      <c r="C828" t="s">
        <v>1442</v>
      </c>
      <c r="D828" t="s">
        <v>1883</v>
      </c>
      <c r="E828" t="s">
        <v>1991</v>
      </c>
      <c r="F828" t="s">
        <v>1996</v>
      </c>
      <c r="G828" t="s">
        <v>1997</v>
      </c>
      <c r="H828">
        <v>4</v>
      </c>
      <c r="I828">
        <v>244</v>
      </c>
      <c r="J828">
        <v>976</v>
      </c>
      <c r="K828">
        <f t="shared" si="12"/>
        <v>1</v>
      </c>
    </row>
    <row r="829" spans="1:11" x14ac:dyDescent="0.3">
      <c r="A829" t="s">
        <v>837</v>
      </c>
      <c r="B829" s="1">
        <v>45440</v>
      </c>
      <c r="C829" t="s">
        <v>1253</v>
      </c>
      <c r="D829" t="s">
        <v>1554</v>
      </c>
      <c r="E829" t="s">
        <v>1991</v>
      </c>
      <c r="F829" t="s">
        <v>1992</v>
      </c>
      <c r="G829" t="s">
        <v>1993</v>
      </c>
      <c r="H829">
        <v>1</v>
      </c>
      <c r="I829">
        <v>245</v>
      </c>
      <c r="J829">
        <v>245</v>
      </c>
      <c r="K829">
        <f t="shared" si="12"/>
        <v>1</v>
      </c>
    </row>
    <row r="830" spans="1:11" x14ac:dyDescent="0.3">
      <c r="A830" t="s">
        <v>838</v>
      </c>
      <c r="B830" s="1">
        <v>45402</v>
      </c>
      <c r="C830" t="s">
        <v>1441</v>
      </c>
      <c r="D830" t="s">
        <v>1541</v>
      </c>
      <c r="E830" t="s">
        <v>1991</v>
      </c>
      <c r="F830" t="s">
        <v>1992</v>
      </c>
      <c r="G830" t="s">
        <v>1995</v>
      </c>
      <c r="H830">
        <v>3</v>
      </c>
      <c r="I830">
        <v>449</v>
      </c>
      <c r="J830">
        <v>1347</v>
      </c>
      <c r="K830">
        <f t="shared" si="12"/>
        <v>2</v>
      </c>
    </row>
    <row r="831" spans="1:11" x14ac:dyDescent="0.3">
      <c r="A831" t="s">
        <v>839</v>
      </c>
      <c r="B831" s="1">
        <v>45536</v>
      </c>
      <c r="C831" t="s">
        <v>1211</v>
      </c>
      <c r="D831" t="s">
        <v>1708</v>
      </c>
      <c r="E831" t="s">
        <v>1994</v>
      </c>
      <c r="F831" t="s">
        <v>1992</v>
      </c>
      <c r="G831" t="s">
        <v>1995</v>
      </c>
      <c r="H831">
        <v>1</v>
      </c>
      <c r="I831">
        <v>460</v>
      </c>
      <c r="J831">
        <v>460</v>
      </c>
      <c r="K831">
        <f t="shared" si="12"/>
        <v>1</v>
      </c>
    </row>
    <row r="832" spans="1:11" x14ac:dyDescent="0.3">
      <c r="A832" t="s">
        <v>840</v>
      </c>
      <c r="B832" s="1">
        <v>45349</v>
      </c>
      <c r="C832" t="s">
        <v>1400</v>
      </c>
      <c r="D832" t="s">
        <v>1844</v>
      </c>
      <c r="E832" t="s">
        <v>1994</v>
      </c>
      <c r="F832" t="s">
        <v>1996</v>
      </c>
      <c r="G832" t="s">
        <v>2001</v>
      </c>
      <c r="H832">
        <v>3</v>
      </c>
      <c r="I832">
        <v>213</v>
      </c>
      <c r="J832">
        <v>639</v>
      </c>
      <c r="K832">
        <f t="shared" si="12"/>
        <v>2</v>
      </c>
    </row>
    <row r="833" spans="1:11" x14ac:dyDescent="0.3">
      <c r="A833" t="s">
        <v>841</v>
      </c>
      <c r="B833" s="1">
        <v>45457</v>
      </c>
      <c r="C833" t="s">
        <v>1298</v>
      </c>
      <c r="D833" t="s">
        <v>1864</v>
      </c>
      <c r="E833" t="s">
        <v>1991</v>
      </c>
      <c r="F833" t="s">
        <v>1999</v>
      </c>
      <c r="G833" t="s">
        <v>2000</v>
      </c>
      <c r="H833">
        <v>5</v>
      </c>
      <c r="I833">
        <v>15</v>
      </c>
      <c r="J833">
        <v>75</v>
      </c>
      <c r="K833">
        <f t="shared" si="12"/>
        <v>3</v>
      </c>
    </row>
    <row r="834" spans="1:11" x14ac:dyDescent="0.3">
      <c r="A834" t="s">
        <v>842</v>
      </c>
      <c r="B834" s="1">
        <v>45348</v>
      </c>
      <c r="C834" t="s">
        <v>1487</v>
      </c>
      <c r="D834" t="s">
        <v>1526</v>
      </c>
      <c r="E834" t="s">
        <v>1991</v>
      </c>
      <c r="F834" t="s">
        <v>1996</v>
      </c>
      <c r="G834" t="s">
        <v>2004</v>
      </c>
      <c r="H834">
        <v>1</v>
      </c>
      <c r="I834">
        <v>209</v>
      </c>
      <c r="J834">
        <v>209</v>
      </c>
      <c r="K834">
        <f t="shared" si="12"/>
        <v>2</v>
      </c>
    </row>
    <row r="835" spans="1:11" x14ac:dyDescent="0.3">
      <c r="A835" t="s">
        <v>843</v>
      </c>
      <c r="B835" s="1">
        <v>45467</v>
      </c>
      <c r="C835" t="s">
        <v>1202</v>
      </c>
      <c r="D835" t="s">
        <v>1610</v>
      </c>
      <c r="E835" t="s">
        <v>1991</v>
      </c>
      <c r="F835" t="s">
        <v>1999</v>
      </c>
      <c r="G835" t="s">
        <v>2002</v>
      </c>
      <c r="H835">
        <v>3</v>
      </c>
      <c r="I835">
        <v>26</v>
      </c>
      <c r="J835">
        <v>78</v>
      </c>
      <c r="K835">
        <f t="shared" ref="K835:K898" si="13">COUNTIF(C835:C1834,C835)</f>
        <v>1</v>
      </c>
    </row>
    <row r="836" spans="1:11" x14ac:dyDescent="0.3">
      <c r="A836" t="s">
        <v>844</v>
      </c>
      <c r="B836" s="1">
        <v>45405</v>
      </c>
      <c r="C836" t="s">
        <v>1266</v>
      </c>
      <c r="D836" t="s">
        <v>1836</v>
      </c>
      <c r="E836" t="s">
        <v>1994</v>
      </c>
      <c r="F836" t="s">
        <v>1999</v>
      </c>
      <c r="G836" t="s">
        <v>2002</v>
      </c>
      <c r="H836">
        <v>4</v>
      </c>
      <c r="I836">
        <v>21</v>
      </c>
      <c r="J836">
        <v>84</v>
      </c>
      <c r="K836">
        <f t="shared" si="13"/>
        <v>1</v>
      </c>
    </row>
    <row r="837" spans="1:11" x14ac:dyDescent="0.3">
      <c r="A837" t="s">
        <v>845</v>
      </c>
      <c r="B837" s="1">
        <v>45447</v>
      </c>
      <c r="C837" t="s">
        <v>1146</v>
      </c>
      <c r="D837" t="s">
        <v>1940</v>
      </c>
      <c r="E837" t="s">
        <v>1994</v>
      </c>
      <c r="F837" t="s">
        <v>1992</v>
      </c>
      <c r="G837" t="s">
        <v>1993</v>
      </c>
      <c r="H837">
        <v>3</v>
      </c>
      <c r="I837">
        <v>303</v>
      </c>
      <c r="J837">
        <v>909</v>
      </c>
      <c r="K837">
        <f t="shared" si="13"/>
        <v>1</v>
      </c>
    </row>
    <row r="838" spans="1:11" x14ac:dyDescent="0.3">
      <c r="A838" t="s">
        <v>846</v>
      </c>
      <c r="B838" s="1">
        <v>45355</v>
      </c>
      <c r="C838" t="s">
        <v>1076</v>
      </c>
      <c r="D838" t="s">
        <v>1630</v>
      </c>
      <c r="E838" t="s">
        <v>1991</v>
      </c>
      <c r="F838" t="s">
        <v>1992</v>
      </c>
      <c r="G838" t="s">
        <v>1998</v>
      </c>
      <c r="H838">
        <v>1</v>
      </c>
      <c r="I838">
        <v>350</v>
      </c>
      <c r="J838">
        <v>350</v>
      </c>
      <c r="K838">
        <f t="shared" si="13"/>
        <v>1</v>
      </c>
    </row>
    <row r="839" spans="1:11" x14ac:dyDescent="0.3">
      <c r="A839" t="s">
        <v>847</v>
      </c>
      <c r="B839" s="1">
        <v>45468</v>
      </c>
      <c r="C839" t="s">
        <v>1469</v>
      </c>
      <c r="D839" t="s">
        <v>1687</v>
      </c>
      <c r="E839" t="s">
        <v>1991</v>
      </c>
      <c r="F839" t="s">
        <v>1996</v>
      </c>
      <c r="G839" t="s">
        <v>2004</v>
      </c>
      <c r="H839">
        <v>2</v>
      </c>
      <c r="I839">
        <v>128</v>
      </c>
      <c r="J839">
        <v>256</v>
      </c>
      <c r="K839">
        <f t="shared" si="13"/>
        <v>1</v>
      </c>
    </row>
    <row r="840" spans="1:11" x14ac:dyDescent="0.3">
      <c r="A840" t="s">
        <v>848</v>
      </c>
      <c r="B840" s="1">
        <v>45475</v>
      </c>
      <c r="C840" t="s">
        <v>1471</v>
      </c>
      <c r="D840" t="s">
        <v>1752</v>
      </c>
      <c r="E840" t="s">
        <v>1991</v>
      </c>
      <c r="F840" t="s">
        <v>1992</v>
      </c>
      <c r="G840" t="s">
        <v>1993</v>
      </c>
      <c r="H840">
        <v>5</v>
      </c>
      <c r="I840">
        <v>355</v>
      </c>
      <c r="J840">
        <v>1775</v>
      </c>
      <c r="K840">
        <f t="shared" si="13"/>
        <v>3</v>
      </c>
    </row>
    <row r="841" spans="1:11" x14ac:dyDescent="0.3">
      <c r="A841" t="s">
        <v>849</v>
      </c>
      <c r="B841" s="1">
        <v>45294</v>
      </c>
      <c r="C841" t="s">
        <v>1123</v>
      </c>
      <c r="D841" t="s">
        <v>1889</v>
      </c>
      <c r="E841" t="s">
        <v>1991</v>
      </c>
      <c r="F841" t="s">
        <v>1999</v>
      </c>
      <c r="G841" t="s">
        <v>2000</v>
      </c>
      <c r="H841">
        <v>4</v>
      </c>
      <c r="I841">
        <v>11</v>
      </c>
      <c r="J841">
        <v>44</v>
      </c>
      <c r="K841">
        <f t="shared" si="13"/>
        <v>1</v>
      </c>
    </row>
    <row r="842" spans="1:11" x14ac:dyDescent="0.3">
      <c r="A842" t="s">
        <v>850</v>
      </c>
      <c r="B842" s="1">
        <v>45415</v>
      </c>
      <c r="C842" t="s">
        <v>1103</v>
      </c>
      <c r="D842" t="s">
        <v>1918</v>
      </c>
      <c r="E842" t="s">
        <v>1994</v>
      </c>
      <c r="F842" t="s">
        <v>1996</v>
      </c>
      <c r="G842" t="s">
        <v>2001</v>
      </c>
      <c r="H842">
        <v>2</v>
      </c>
      <c r="I842">
        <v>162</v>
      </c>
      <c r="J842">
        <v>324</v>
      </c>
      <c r="K842">
        <f t="shared" si="13"/>
        <v>1</v>
      </c>
    </row>
    <row r="843" spans="1:11" x14ac:dyDescent="0.3">
      <c r="A843" t="s">
        <v>851</v>
      </c>
      <c r="B843" s="1">
        <v>45518</v>
      </c>
      <c r="C843" t="s">
        <v>1129</v>
      </c>
      <c r="D843" t="s">
        <v>1599</v>
      </c>
      <c r="E843" t="s">
        <v>1994</v>
      </c>
      <c r="F843" t="s">
        <v>1996</v>
      </c>
      <c r="G843" t="s">
        <v>2004</v>
      </c>
      <c r="H843">
        <v>1</v>
      </c>
      <c r="I843">
        <v>103</v>
      </c>
      <c r="J843">
        <v>103</v>
      </c>
      <c r="K843">
        <f t="shared" si="13"/>
        <v>1</v>
      </c>
    </row>
    <row r="844" spans="1:11" x14ac:dyDescent="0.3">
      <c r="A844" t="s">
        <v>852</v>
      </c>
      <c r="B844" s="1">
        <v>45421</v>
      </c>
      <c r="C844" t="s">
        <v>1283</v>
      </c>
      <c r="D844" t="s">
        <v>1687</v>
      </c>
      <c r="E844" t="s">
        <v>1994</v>
      </c>
      <c r="F844" t="s">
        <v>1999</v>
      </c>
      <c r="G844" t="s">
        <v>2000</v>
      </c>
      <c r="H844">
        <v>4</v>
      </c>
      <c r="I844">
        <v>44</v>
      </c>
      <c r="J844">
        <v>176</v>
      </c>
      <c r="K844">
        <f t="shared" si="13"/>
        <v>1</v>
      </c>
    </row>
    <row r="845" spans="1:11" x14ac:dyDescent="0.3">
      <c r="A845" t="s">
        <v>853</v>
      </c>
      <c r="B845" s="1">
        <v>45326</v>
      </c>
      <c r="C845" t="s">
        <v>1373</v>
      </c>
      <c r="D845" t="s">
        <v>1511</v>
      </c>
      <c r="E845" t="s">
        <v>1994</v>
      </c>
      <c r="F845" t="s">
        <v>1992</v>
      </c>
      <c r="G845" t="s">
        <v>1998</v>
      </c>
      <c r="H845">
        <v>1</v>
      </c>
      <c r="I845">
        <v>440</v>
      </c>
      <c r="J845">
        <v>440</v>
      </c>
      <c r="K845">
        <f t="shared" si="13"/>
        <v>1</v>
      </c>
    </row>
    <row r="846" spans="1:11" x14ac:dyDescent="0.3">
      <c r="A846" t="s">
        <v>854</v>
      </c>
      <c r="B846" s="1">
        <v>45337</v>
      </c>
      <c r="C846" t="s">
        <v>1119</v>
      </c>
      <c r="D846" t="s">
        <v>1745</v>
      </c>
      <c r="E846" t="s">
        <v>1994</v>
      </c>
      <c r="F846" t="s">
        <v>1999</v>
      </c>
      <c r="G846" t="s">
        <v>2003</v>
      </c>
      <c r="H846">
        <v>2</v>
      </c>
      <c r="I846">
        <v>33</v>
      </c>
      <c r="J846">
        <v>66</v>
      </c>
      <c r="K846">
        <f t="shared" si="13"/>
        <v>2</v>
      </c>
    </row>
    <row r="847" spans="1:11" x14ac:dyDescent="0.3">
      <c r="A847" t="s">
        <v>855</v>
      </c>
      <c r="B847" s="1">
        <v>45529</v>
      </c>
      <c r="C847" t="s">
        <v>1151</v>
      </c>
      <c r="D847" t="s">
        <v>1545</v>
      </c>
      <c r="E847" t="s">
        <v>1994</v>
      </c>
      <c r="F847" t="s">
        <v>1996</v>
      </c>
      <c r="G847" t="s">
        <v>2001</v>
      </c>
      <c r="H847">
        <v>2</v>
      </c>
      <c r="I847">
        <v>175</v>
      </c>
      <c r="J847">
        <v>350</v>
      </c>
      <c r="K847">
        <f t="shared" si="13"/>
        <v>1</v>
      </c>
    </row>
    <row r="848" spans="1:11" x14ac:dyDescent="0.3">
      <c r="A848" t="s">
        <v>856</v>
      </c>
      <c r="B848" s="1">
        <v>45511</v>
      </c>
      <c r="C848" t="s">
        <v>1082</v>
      </c>
      <c r="D848" t="s">
        <v>1636</v>
      </c>
      <c r="E848" t="s">
        <v>1991</v>
      </c>
      <c r="F848" t="s">
        <v>1992</v>
      </c>
      <c r="G848" t="s">
        <v>1998</v>
      </c>
      <c r="H848">
        <v>3</v>
      </c>
      <c r="I848">
        <v>398</v>
      </c>
      <c r="J848">
        <v>1194</v>
      </c>
      <c r="K848">
        <f t="shared" si="13"/>
        <v>2</v>
      </c>
    </row>
    <row r="849" spans="1:11" x14ac:dyDescent="0.3">
      <c r="A849" t="s">
        <v>857</v>
      </c>
      <c r="B849" s="1">
        <v>45507</v>
      </c>
      <c r="C849" t="s">
        <v>1069</v>
      </c>
      <c r="D849" t="s">
        <v>1706</v>
      </c>
      <c r="E849" t="s">
        <v>1994</v>
      </c>
      <c r="F849" t="s">
        <v>1996</v>
      </c>
      <c r="G849" t="s">
        <v>1997</v>
      </c>
      <c r="H849">
        <v>3</v>
      </c>
      <c r="I849">
        <v>254</v>
      </c>
      <c r="J849">
        <v>762</v>
      </c>
      <c r="K849">
        <f t="shared" si="13"/>
        <v>1</v>
      </c>
    </row>
    <row r="850" spans="1:11" x14ac:dyDescent="0.3">
      <c r="A850" t="s">
        <v>858</v>
      </c>
      <c r="B850" s="1">
        <v>45368</v>
      </c>
      <c r="C850" t="s">
        <v>1250</v>
      </c>
      <c r="D850" t="s">
        <v>1607</v>
      </c>
      <c r="E850" t="s">
        <v>1994</v>
      </c>
      <c r="F850" t="s">
        <v>1996</v>
      </c>
      <c r="G850" t="s">
        <v>2001</v>
      </c>
      <c r="H850">
        <v>4</v>
      </c>
      <c r="I850">
        <v>104</v>
      </c>
      <c r="J850">
        <v>416</v>
      </c>
      <c r="K850">
        <f t="shared" si="13"/>
        <v>1</v>
      </c>
    </row>
    <row r="851" spans="1:11" x14ac:dyDescent="0.3">
      <c r="A851" t="s">
        <v>859</v>
      </c>
      <c r="B851" s="1">
        <v>45410</v>
      </c>
      <c r="C851" t="s">
        <v>1445</v>
      </c>
      <c r="D851" t="s">
        <v>1722</v>
      </c>
      <c r="E851" t="s">
        <v>1991</v>
      </c>
      <c r="F851" t="s">
        <v>1992</v>
      </c>
      <c r="G851" t="s">
        <v>1993</v>
      </c>
      <c r="H851">
        <v>4</v>
      </c>
      <c r="I851">
        <v>230</v>
      </c>
      <c r="J851">
        <v>920</v>
      </c>
      <c r="K851">
        <f t="shared" si="13"/>
        <v>1</v>
      </c>
    </row>
    <row r="852" spans="1:11" x14ac:dyDescent="0.3">
      <c r="A852" t="s">
        <v>860</v>
      </c>
      <c r="B852" s="1">
        <v>45411</v>
      </c>
      <c r="C852" t="s">
        <v>1048</v>
      </c>
      <c r="D852" t="s">
        <v>1853</v>
      </c>
      <c r="E852" t="s">
        <v>1991</v>
      </c>
      <c r="F852" t="s">
        <v>1996</v>
      </c>
      <c r="G852" t="s">
        <v>2001</v>
      </c>
      <c r="H852">
        <v>4</v>
      </c>
      <c r="I852">
        <v>260</v>
      </c>
      <c r="J852">
        <v>1040</v>
      </c>
      <c r="K852">
        <f t="shared" si="13"/>
        <v>1</v>
      </c>
    </row>
    <row r="853" spans="1:11" x14ac:dyDescent="0.3">
      <c r="A853" t="s">
        <v>861</v>
      </c>
      <c r="B853" s="1">
        <v>45330</v>
      </c>
      <c r="C853" t="s">
        <v>1301</v>
      </c>
      <c r="D853" t="s">
        <v>1826</v>
      </c>
      <c r="E853" t="s">
        <v>1991</v>
      </c>
      <c r="F853" t="s">
        <v>1996</v>
      </c>
      <c r="G853" t="s">
        <v>2004</v>
      </c>
      <c r="H853">
        <v>3</v>
      </c>
      <c r="I853">
        <v>225</v>
      </c>
      <c r="J853">
        <v>675</v>
      </c>
      <c r="K853">
        <f t="shared" si="13"/>
        <v>1</v>
      </c>
    </row>
    <row r="854" spans="1:11" x14ac:dyDescent="0.3">
      <c r="A854" t="s">
        <v>862</v>
      </c>
      <c r="B854" s="1">
        <v>45395</v>
      </c>
      <c r="C854" t="s">
        <v>1312</v>
      </c>
      <c r="D854" t="s">
        <v>1601</v>
      </c>
      <c r="E854" t="s">
        <v>1991</v>
      </c>
      <c r="F854" t="s">
        <v>1996</v>
      </c>
      <c r="G854" t="s">
        <v>1997</v>
      </c>
      <c r="H854">
        <v>2</v>
      </c>
      <c r="I854">
        <v>117</v>
      </c>
      <c r="J854">
        <v>234</v>
      </c>
      <c r="K854">
        <f t="shared" si="13"/>
        <v>1</v>
      </c>
    </row>
    <row r="855" spans="1:11" x14ac:dyDescent="0.3">
      <c r="A855" t="s">
        <v>863</v>
      </c>
      <c r="B855" s="1">
        <v>45433</v>
      </c>
      <c r="C855" t="s">
        <v>1171</v>
      </c>
      <c r="D855" t="s">
        <v>1707</v>
      </c>
      <c r="E855" t="s">
        <v>1991</v>
      </c>
      <c r="F855" t="s">
        <v>1992</v>
      </c>
      <c r="G855" t="s">
        <v>1995</v>
      </c>
      <c r="H855">
        <v>1</v>
      </c>
      <c r="I855">
        <v>383</v>
      </c>
      <c r="J855">
        <v>383</v>
      </c>
      <c r="K855">
        <f t="shared" si="13"/>
        <v>2</v>
      </c>
    </row>
    <row r="856" spans="1:11" x14ac:dyDescent="0.3">
      <c r="A856" t="s">
        <v>864</v>
      </c>
      <c r="B856" s="1">
        <v>45507</v>
      </c>
      <c r="C856" t="s">
        <v>1037</v>
      </c>
      <c r="D856" t="s">
        <v>1916</v>
      </c>
      <c r="E856" t="s">
        <v>1994</v>
      </c>
      <c r="F856" t="s">
        <v>1992</v>
      </c>
      <c r="G856" t="s">
        <v>1995</v>
      </c>
      <c r="H856">
        <v>1</v>
      </c>
      <c r="I856">
        <v>240</v>
      </c>
      <c r="J856">
        <v>240</v>
      </c>
      <c r="K856">
        <f t="shared" si="13"/>
        <v>1</v>
      </c>
    </row>
    <row r="857" spans="1:11" x14ac:dyDescent="0.3">
      <c r="A857" t="s">
        <v>865</v>
      </c>
      <c r="B857" s="1">
        <v>45419</v>
      </c>
      <c r="C857" t="s">
        <v>1251</v>
      </c>
      <c r="D857" t="s">
        <v>1946</v>
      </c>
      <c r="E857" t="s">
        <v>1991</v>
      </c>
      <c r="F857" t="s">
        <v>1992</v>
      </c>
      <c r="G857" t="s">
        <v>1993</v>
      </c>
      <c r="H857">
        <v>1</v>
      </c>
      <c r="I857">
        <v>471</v>
      </c>
      <c r="J857">
        <v>471</v>
      </c>
      <c r="K857">
        <f t="shared" si="13"/>
        <v>1</v>
      </c>
    </row>
    <row r="858" spans="1:11" x14ac:dyDescent="0.3">
      <c r="A858" t="s">
        <v>866</v>
      </c>
      <c r="B858" s="1">
        <v>45397</v>
      </c>
      <c r="C858" t="s">
        <v>1105</v>
      </c>
      <c r="D858" t="s">
        <v>1570</v>
      </c>
      <c r="E858" t="s">
        <v>1991</v>
      </c>
      <c r="F858" t="s">
        <v>1996</v>
      </c>
      <c r="G858" t="s">
        <v>2004</v>
      </c>
      <c r="H858">
        <v>2</v>
      </c>
      <c r="I858">
        <v>250</v>
      </c>
      <c r="J858">
        <v>500</v>
      </c>
      <c r="K858">
        <f t="shared" si="13"/>
        <v>1</v>
      </c>
    </row>
    <row r="859" spans="1:11" x14ac:dyDescent="0.3">
      <c r="A859" t="s">
        <v>867</v>
      </c>
      <c r="B859" s="1">
        <v>45427</v>
      </c>
      <c r="C859" t="s">
        <v>1437</v>
      </c>
      <c r="D859" t="s">
        <v>1627</v>
      </c>
      <c r="E859" t="s">
        <v>1994</v>
      </c>
      <c r="F859" t="s">
        <v>1996</v>
      </c>
      <c r="G859" t="s">
        <v>2004</v>
      </c>
      <c r="H859">
        <v>5</v>
      </c>
      <c r="I859">
        <v>219</v>
      </c>
      <c r="J859">
        <v>1095</v>
      </c>
      <c r="K859">
        <f t="shared" si="13"/>
        <v>1</v>
      </c>
    </row>
    <row r="860" spans="1:11" x14ac:dyDescent="0.3">
      <c r="A860" t="s">
        <v>868</v>
      </c>
      <c r="B860" s="1">
        <v>45340</v>
      </c>
      <c r="C860" t="s">
        <v>1259</v>
      </c>
      <c r="D860" t="s">
        <v>1811</v>
      </c>
      <c r="E860" t="s">
        <v>1994</v>
      </c>
      <c r="F860" t="s">
        <v>1992</v>
      </c>
      <c r="G860" t="s">
        <v>1995</v>
      </c>
      <c r="H860">
        <v>4</v>
      </c>
      <c r="I860">
        <v>249</v>
      </c>
      <c r="J860">
        <v>996</v>
      </c>
      <c r="K860">
        <f t="shared" si="13"/>
        <v>1</v>
      </c>
    </row>
    <row r="861" spans="1:11" x14ac:dyDescent="0.3">
      <c r="A861" t="s">
        <v>869</v>
      </c>
      <c r="B861" s="1">
        <v>45329</v>
      </c>
      <c r="C861" t="s">
        <v>1361</v>
      </c>
      <c r="D861" t="s">
        <v>1695</v>
      </c>
      <c r="E861" t="s">
        <v>1994</v>
      </c>
      <c r="F861" t="s">
        <v>1992</v>
      </c>
      <c r="G861" t="s">
        <v>1995</v>
      </c>
      <c r="H861">
        <v>5</v>
      </c>
      <c r="I861">
        <v>466</v>
      </c>
      <c r="J861">
        <v>2330</v>
      </c>
      <c r="K861">
        <f t="shared" si="13"/>
        <v>1</v>
      </c>
    </row>
    <row r="862" spans="1:11" x14ac:dyDescent="0.3">
      <c r="A862" t="s">
        <v>870</v>
      </c>
      <c r="B862" s="1">
        <v>45522</v>
      </c>
      <c r="C862" t="s">
        <v>1397</v>
      </c>
      <c r="D862" t="s">
        <v>1909</v>
      </c>
      <c r="E862" t="s">
        <v>1991</v>
      </c>
      <c r="F862" t="s">
        <v>1992</v>
      </c>
      <c r="G862" t="s">
        <v>1995</v>
      </c>
      <c r="H862">
        <v>4</v>
      </c>
      <c r="I862">
        <v>213</v>
      </c>
      <c r="J862">
        <v>852</v>
      </c>
      <c r="K862">
        <f t="shared" si="13"/>
        <v>1</v>
      </c>
    </row>
    <row r="863" spans="1:11" x14ac:dyDescent="0.3">
      <c r="A863" t="s">
        <v>871</v>
      </c>
      <c r="B863" s="1">
        <v>45332</v>
      </c>
      <c r="C863" t="s">
        <v>1380</v>
      </c>
      <c r="D863" t="s">
        <v>1779</v>
      </c>
      <c r="E863" t="s">
        <v>1991</v>
      </c>
      <c r="F863" t="s">
        <v>1999</v>
      </c>
      <c r="G863" t="s">
        <v>2003</v>
      </c>
      <c r="H863">
        <v>3</v>
      </c>
      <c r="I863">
        <v>32</v>
      </c>
      <c r="J863">
        <v>96</v>
      </c>
      <c r="K863">
        <f t="shared" si="13"/>
        <v>1</v>
      </c>
    </row>
    <row r="864" spans="1:11" x14ac:dyDescent="0.3">
      <c r="A864" t="s">
        <v>872</v>
      </c>
      <c r="B864" s="1">
        <v>45409</v>
      </c>
      <c r="C864" t="s">
        <v>1456</v>
      </c>
      <c r="D864" t="s">
        <v>1925</v>
      </c>
      <c r="E864" t="s">
        <v>1994</v>
      </c>
      <c r="F864" t="s">
        <v>1996</v>
      </c>
      <c r="G864" t="s">
        <v>1997</v>
      </c>
      <c r="H864">
        <v>3</v>
      </c>
      <c r="I864">
        <v>159</v>
      </c>
      <c r="J864">
        <v>477</v>
      </c>
      <c r="K864">
        <f t="shared" si="13"/>
        <v>1</v>
      </c>
    </row>
    <row r="865" spans="1:11" x14ac:dyDescent="0.3">
      <c r="A865" t="s">
        <v>873</v>
      </c>
      <c r="B865" s="1">
        <v>45351</v>
      </c>
      <c r="C865" t="s">
        <v>1185</v>
      </c>
      <c r="D865" t="s">
        <v>1801</v>
      </c>
      <c r="E865" t="s">
        <v>1991</v>
      </c>
      <c r="F865" t="s">
        <v>1992</v>
      </c>
      <c r="G865" t="s">
        <v>1993</v>
      </c>
      <c r="H865">
        <v>5</v>
      </c>
      <c r="I865">
        <v>279</v>
      </c>
      <c r="J865">
        <v>1395</v>
      </c>
      <c r="K865">
        <f t="shared" si="13"/>
        <v>2</v>
      </c>
    </row>
    <row r="866" spans="1:11" x14ac:dyDescent="0.3">
      <c r="A866" t="s">
        <v>874</v>
      </c>
      <c r="B866" s="1">
        <v>45433</v>
      </c>
      <c r="C866" t="s">
        <v>1082</v>
      </c>
      <c r="D866" t="s">
        <v>1738</v>
      </c>
      <c r="E866" t="s">
        <v>1994</v>
      </c>
      <c r="F866" t="s">
        <v>1996</v>
      </c>
      <c r="G866" t="s">
        <v>1997</v>
      </c>
      <c r="H866">
        <v>5</v>
      </c>
      <c r="I866">
        <v>117</v>
      </c>
      <c r="J866">
        <v>585</v>
      </c>
      <c r="K866">
        <f t="shared" si="13"/>
        <v>1</v>
      </c>
    </row>
    <row r="867" spans="1:11" x14ac:dyDescent="0.3">
      <c r="A867" t="s">
        <v>875</v>
      </c>
      <c r="B867" s="1">
        <v>45440</v>
      </c>
      <c r="C867" t="s">
        <v>1294</v>
      </c>
      <c r="D867" t="s">
        <v>1692</v>
      </c>
      <c r="E867" t="s">
        <v>1991</v>
      </c>
      <c r="F867" t="s">
        <v>1992</v>
      </c>
      <c r="G867" t="s">
        <v>1995</v>
      </c>
      <c r="H867">
        <v>1</v>
      </c>
      <c r="I867">
        <v>363</v>
      </c>
      <c r="J867">
        <v>363</v>
      </c>
      <c r="K867">
        <f t="shared" si="13"/>
        <v>1</v>
      </c>
    </row>
    <row r="868" spans="1:11" x14ac:dyDescent="0.3">
      <c r="A868" t="s">
        <v>876</v>
      </c>
      <c r="B868" s="1">
        <v>45308</v>
      </c>
      <c r="C868" t="s">
        <v>1291</v>
      </c>
      <c r="D868" t="s">
        <v>1746</v>
      </c>
      <c r="E868" t="s">
        <v>1994</v>
      </c>
      <c r="F868" t="s">
        <v>1992</v>
      </c>
      <c r="G868" t="s">
        <v>1998</v>
      </c>
      <c r="H868">
        <v>5</v>
      </c>
      <c r="I868">
        <v>277</v>
      </c>
      <c r="J868">
        <v>1385</v>
      </c>
      <c r="K868">
        <f t="shared" si="13"/>
        <v>1</v>
      </c>
    </row>
    <row r="869" spans="1:11" x14ac:dyDescent="0.3">
      <c r="A869" t="s">
        <v>877</v>
      </c>
      <c r="B869" s="1">
        <v>45380</v>
      </c>
      <c r="C869" t="s">
        <v>1043</v>
      </c>
      <c r="D869" t="s">
        <v>1842</v>
      </c>
      <c r="E869" t="s">
        <v>1991</v>
      </c>
      <c r="F869" t="s">
        <v>1992</v>
      </c>
      <c r="G869" t="s">
        <v>1998</v>
      </c>
      <c r="H869">
        <v>1</v>
      </c>
      <c r="I869">
        <v>378</v>
      </c>
      <c r="J869">
        <v>378</v>
      </c>
      <c r="K869">
        <f t="shared" si="13"/>
        <v>1</v>
      </c>
    </row>
    <row r="870" spans="1:11" x14ac:dyDescent="0.3">
      <c r="A870" t="s">
        <v>878</v>
      </c>
      <c r="B870" s="1">
        <v>45323</v>
      </c>
      <c r="C870" t="s">
        <v>1135</v>
      </c>
      <c r="D870" t="s">
        <v>1939</v>
      </c>
      <c r="E870" t="s">
        <v>1991</v>
      </c>
      <c r="F870" t="s">
        <v>1992</v>
      </c>
      <c r="G870" t="s">
        <v>1993</v>
      </c>
      <c r="H870">
        <v>2</v>
      </c>
      <c r="I870">
        <v>317</v>
      </c>
      <c r="J870">
        <v>634</v>
      </c>
      <c r="K870">
        <f t="shared" si="13"/>
        <v>1</v>
      </c>
    </row>
    <row r="871" spans="1:11" x14ac:dyDescent="0.3">
      <c r="A871" t="s">
        <v>879</v>
      </c>
      <c r="B871" s="1">
        <v>45440</v>
      </c>
      <c r="C871" t="s">
        <v>1035</v>
      </c>
      <c r="D871" t="s">
        <v>1815</v>
      </c>
      <c r="E871" t="s">
        <v>1991</v>
      </c>
      <c r="F871" t="s">
        <v>1999</v>
      </c>
      <c r="G871" t="s">
        <v>2000</v>
      </c>
      <c r="H871">
        <v>4</v>
      </c>
      <c r="I871">
        <v>48</v>
      </c>
      <c r="J871">
        <v>192</v>
      </c>
      <c r="K871">
        <f t="shared" si="13"/>
        <v>1</v>
      </c>
    </row>
    <row r="872" spans="1:11" x14ac:dyDescent="0.3">
      <c r="A872" t="s">
        <v>880</v>
      </c>
      <c r="B872" s="1">
        <v>45385</v>
      </c>
      <c r="C872" t="s">
        <v>1033</v>
      </c>
      <c r="D872" t="s">
        <v>1555</v>
      </c>
      <c r="E872" t="s">
        <v>1991</v>
      </c>
      <c r="F872" t="s">
        <v>1999</v>
      </c>
      <c r="G872" t="s">
        <v>2002</v>
      </c>
      <c r="H872">
        <v>4</v>
      </c>
      <c r="I872">
        <v>40</v>
      </c>
      <c r="J872">
        <v>160</v>
      </c>
      <c r="K872">
        <f t="shared" si="13"/>
        <v>1</v>
      </c>
    </row>
    <row r="873" spans="1:11" x14ac:dyDescent="0.3">
      <c r="A873" t="s">
        <v>881</v>
      </c>
      <c r="B873" s="1">
        <v>45344</v>
      </c>
      <c r="C873" t="s">
        <v>1411</v>
      </c>
      <c r="D873" t="s">
        <v>1636</v>
      </c>
      <c r="E873" t="s">
        <v>1994</v>
      </c>
      <c r="F873" t="s">
        <v>1996</v>
      </c>
      <c r="G873" t="s">
        <v>2001</v>
      </c>
      <c r="H873">
        <v>4</v>
      </c>
      <c r="I873">
        <v>273</v>
      </c>
      <c r="J873">
        <v>1092</v>
      </c>
      <c r="K873">
        <f t="shared" si="13"/>
        <v>1</v>
      </c>
    </row>
    <row r="874" spans="1:11" x14ac:dyDescent="0.3">
      <c r="A874" t="s">
        <v>882</v>
      </c>
      <c r="B874" s="1">
        <v>45470</v>
      </c>
      <c r="C874" t="s">
        <v>1296</v>
      </c>
      <c r="D874" t="s">
        <v>1527</v>
      </c>
      <c r="E874" t="s">
        <v>1994</v>
      </c>
      <c r="F874" t="s">
        <v>1996</v>
      </c>
      <c r="G874" t="s">
        <v>1997</v>
      </c>
      <c r="H874">
        <v>1</v>
      </c>
      <c r="I874">
        <v>231</v>
      </c>
      <c r="J874">
        <v>231</v>
      </c>
      <c r="K874">
        <f t="shared" si="13"/>
        <v>1</v>
      </c>
    </row>
    <row r="875" spans="1:11" x14ac:dyDescent="0.3">
      <c r="A875" t="s">
        <v>883</v>
      </c>
      <c r="B875" s="1">
        <v>45382</v>
      </c>
      <c r="C875" t="s">
        <v>1128</v>
      </c>
      <c r="D875" t="s">
        <v>1585</v>
      </c>
      <c r="E875" t="s">
        <v>1991</v>
      </c>
      <c r="F875" t="s">
        <v>1999</v>
      </c>
      <c r="G875" t="s">
        <v>2002</v>
      </c>
      <c r="H875">
        <v>1</v>
      </c>
      <c r="I875">
        <v>24</v>
      </c>
      <c r="J875">
        <v>24</v>
      </c>
      <c r="K875">
        <f t="shared" si="13"/>
        <v>1</v>
      </c>
    </row>
    <row r="876" spans="1:11" x14ac:dyDescent="0.3">
      <c r="A876" t="s">
        <v>884</v>
      </c>
      <c r="B876" s="1">
        <v>45430</v>
      </c>
      <c r="C876" t="s">
        <v>1471</v>
      </c>
      <c r="D876" t="s">
        <v>1955</v>
      </c>
      <c r="E876" t="s">
        <v>1994</v>
      </c>
      <c r="F876" t="s">
        <v>1996</v>
      </c>
      <c r="G876" t="s">
        <v>2004</v>
      </c>
      <c r="H876">
        <v>1</v>
      </c>
      <c r="I876">
        <v>256</v>
      </c>
      <c r="J876">
        <v>256</v>
      </c>
      <c r="K876">
        <f t="shared" si="13"/>
        <v>2</v>
      </c>
    </row>
    <row r="877" spans="1:11" x14ac:dyDescent="0.3">
      <c r="A877" t="s">
        <v>885</v>
      </c>
      <c r="B877" s="1">
        <v>45471</v>
      </c>
      <c r="C877" t="s">
        <v>1102</v>
      </c>
      <c r="D877" t="s">
        <v>1546</v>
      </c>
      <c r="E877" t="s">
        <v>1994</v>
      </c>
      <c r="F877" t="s">
        <v>1999</v>
      </c>
      <c r="G877" t="s">
        <v>2002</v>
      </c>
      <c r="H877">
        <v>3</v>
      </c>
      <c r="I877">
        <v>48</v>
      </c>
      <c r="J877">
        <v>144</v>
      </c>
      <c r="K877">
        <f t="shared" si="13"/>
        <v>1</v>
      </c>
    </row>
    <row r="878" spans="1:11" x14ac:dyDescent="0.3">
      <c r="A878" t="s">
        <v>886</v>
      </c>
      <c r="B878" s="1">
        <v>45503</v>
      </c>
      <c r="C878" t="s">
        <v>1156</v>
      </c>
      <c r="D878" t="s">
        <v>1521</v>
      </c>
      <c r="E878" t="s">
        <v>1991</v>
      </c>
      <c r="F878" t="s">
        <v>1999</v>
      </c>
      <c r="G878" t="s">
        <v>2003</v>
      </c>
      <c r="H878">
        <v>1</v>
      </c>
      <c r="I878">
        <v>34</v>
      </c>
      <c r="J878">
        <v>34</v>
      </c>
      <c r="K878">
        <f t="shared" si="13"/>
        <v>1</v>
      </c>
    </row>
    <row r="879" spans="1:11" x14ac:dyDescent="0.3">
      <c r="A879" t="s">
        <v>887</v>
      </c>
      <c r="B879" s="1">
        <v>45483</v>
      </c>
      <c r="C879" t="s">
        <v>1225</v>
      </c>
      <c r="D879" t="s">
        <v>1939</v>
      </c>
      <c r="E879" t="s">
        <v>1994</v>
      </c>
      <c r="F879" t="s">
        <v>1996</v>
      </c>
      <c r="G879" t="s">
        <v>2001</v>
      </c>
      <c r="H879">
        <v>4</v>
      </c>
      <c r="I879">
        <v>225</v>
      </c>
      <c r="J879">
        <v>900</v>
      </c>
      <c r="K879">
        <f t="shared" si="13"/>
        <v>1</v>
      </c>
    </row>
    <row r="880" spans="1:11" x14ac:dyDescent="0.3">
      <c r="A880" t="s">
        <v>888</v>
      </c>
      <c r="B880" s="1">
        <v>45310</v>
      </c>
      <c r="C880" t="s">
        <v>1341</v>
      </c>
      <c r="D880" t="s">
        <v>1901</v>
      </c>
      <c r="E880" t="s">
        <v>1991</v>
      </c>
      <c r="F880" t="s">
        <v>1996</v>
      </c>
      <c r="G880" t="s">
        <v>1997</v>
      </c>
      <c r="H880">
        <v>4</v>
      </c>
      <c r="I880">
        <v>211</v>
      </c>
      <c r="J880">
        <v>844</v>
      </c>
      <c r="K880">
        <f t="shared" si="13"/>
        <v>1</v>
      </c>
    </row>
    <row r="881" spans="1:11" x14ac:dyDescent="0.3">
      <c r="A881" t="s">
        <v>889</v>
      </c>
      <c r="B881" s="1">
        <v>45307</v>
      </c>
      <c r="C881" t="s">
        <v>1179</v>
      </c>
      <c r="D881" t="s">
        <v>1696</v>
      </c>
      <c r="E881" t="s">
        <v>1994</v>
      </c>
      <c r="F881" t="s">
        <v>1999</v>
      </c>
      <c r="G881" t="s">
        <v>2000</v>
      </c>
      <c r="H881">
        <v>4</v>
      </c>
      <c r="I881">
        <v>49</v>
      </c>
      <c r="J881">
        <v>196</v>
      </c>
      <c r="K881">
        <f t="shared" si="13"/>
        <v>1</v>
      </c>
    </row>
    <row r="882" spans="1:11" x14ac:dyDescent="0.3">
      <c r="A882" t="s">
        <v>890</v>
      </c>
      <c r="B882" s="1">
        <v>45364</v>
      </c>
      <c r="C882" t="s">
        <v>1228</v>
      </c>
      <c r="D882" t="s">
        <v>1709</v>
      </c>
      <c r="E882" t="s">
        <v>1991</v>
      </c>
      <c r="F882" t="s">
        <v>1996</v>
      </c>
      <c r="G882" t="s">
        <v>1997</v>
      </c>
      <c r="H882">
        <v>3</v>
      </c>
      <c r="I882">
        <v>133</v>
      </c>
      <c r="J882">
        <v>399</v>
      </c>
      <c r="K882">
        <f t="shared" si="13"/>
        <v>1</v>
      </c>
    </row>
    <row r="883" spans="1:11" x14ac:dyDescent="0.3">
      <c r="A883" t="s">
        <v>891</v>
      </c>
      <c r="B883" s="1">
        <v>45432</v>
      </c>
      <c r="C883" t="s">
        <v>1421</v>
      </c>
      <c r="D883" t="s">
        <v>1948</v>
      </c>
      <c r="E883" t="s">
        <v>1994</v>
      </c>
      <c r="F883" t="s">
        <v>1999</v>
      </c>
      <c r="G883" t="s">
        <v>2000</v>
      </c>
      <c r="H883">
        <v>2</v>
      </c>
      <c r="I883">
        <v>25</v>
      </c>
      <c r="J883">
        <v>50</v>
      </c>
      <c r="K883">
        <f t="shared" si="13"/>
        <v>2</v>
      </c>
    </row>
    <row r="884" spans="1:11" x14ac:dyDescent="0.3">
      <c r="A884" t="s">
        <v>892</v>
      </c>
      <c r="B884" s="1">
        <v>45387</v>
      </c>
      <c r="C884" t="s">
        <v>1213</v>
      </c>
      <c r="D884" t="s">
        <v>1850</v>
      </c>
      <c r="E884" t="s">
        <v>1994</v>
      </c>
      <c r="F884" t="s">
        <v>1992</v>
      </c>
      <c r="G884" t="s">
        <v>1993</v>
      </c>
      <c r="H884">
        <v>1</v>
      </c>
      <c r="I884">
        <v>476</v>
      </c>
      <c r="J884">
        <v>476</v>
      </c>
      <c r="K884">
        <f t="shared" si="13"/>
        <v>3</v>
      </c>
    </row>
    <row r="885" spans="1:11" x14ac:dyDescent="0.3">
      <c r="A885" t="s">
        <v>893</v>
      </c>
      <c r="B885" s="1">
        <v>45401</v>
      </c>
      <c r="C885" t="s">
        <v>1262</v>
      </c>
      <c r="D885" t="s">
        <v>1894</v>
      </c>
      <c r="E885" t="s">
        <v>1991</v>
      </c>
      <c r="F885" t="s">
        <v>1992</v>
      </c>
      <c r="G885" t="s">
        <v>1998</v>
      </c>
      <c r="H885">
        <v>2</v>
      </c>
      <c r="I885">
        <v>381</v>
      </c>
      <c r="J885">
        <v>762</v>
      </c>
      <c r="K885">
        <f t="shared" si="13"/>
        <v>2</v>
      </c>
    </row>
    <row r="886" spans="1:11" x14ac:dyDescent="0.3">
      <c r="A886" t="s">
        <v>894</v>
      </c>
      <c r="B886" s="1">
        <v>45534</v>
      </c>
      <c r="C886" t="s">
        <v>1016</v>
      </c>
      <c r="D886" t="s">
        <v>1925</v>
      </c>
      <c r="E886" t="s">
        <v>1994</v>
      </c>
      <c r="F886" t="s">
        <v>1996</v>
      </c>
      <c r="G886" t="s">
        <v>2001</v>
      </c>
      <c r="H886">
        <v>1</v>
      </c>
      <c r="I886">
        <v>189</v>
      </c>
      <c r="J886">
        <v>189</v>
      </c>
      <c r="K886">
        <f t="shared" si="13"/>
        <v>1</v>
      </c>
    </row>
    <row r="887" spans="1:11" x14ac:dyDescent="0.3">
      <c r="A887" t="s">
        <v>895</v>
      </c>
      <c r="B887" s="1">
        <v>45377</v>
      </c>
      <c r="C887" t="s">
        <v>1439</v>
      </c>
      <c r="D887" t="s">
        <v>1883</v>
      </c>
      <c r="E887" t="s">
        <v>1994</v>
      </c>
      <c r="F887" t="s">
        <v>1999</v>
      </c>
      <c r="G887" t="s">
        <v>2002</v>
      </c>
      <c r="H887">
        <v>1</v>
      </c>
      <c r="I887">
        <v>30</v>
      </c>
      <c r="J887">
        <v>30</v>
      </c>
      <c r="K887">
        <f t="shared" si="13"/>
        <v>1</v>
      </c>
    </row>
    <row r="888" spans="1:11" x14ac:dyDescent="0.3">
      <c r="A888" t="s">
        <v>896</v>
      </c>
      <c r="B888" s="1">
        <v>45324</v>
      </c>
      <c r="C888" t="s">
        <v>1282</v>
      </c>
      <c r="D888" t="s">
        <v>1650</v>
      </c>
      <c r="E888" t="s">
        <v>1994</v>
      </c>
      <c r="F888" t="s">
        <v>1996</v>
      </c>
      <c r="G888" t="s">
        <v>2004</v>
      </c>
      <c r="H888">
        <v>3</v>
      </c>
      <c r="I888">
        <v>201</v>
      </c>
      <c r="J888">
        <v>603</v>
      </c>
      <c r="K888">
        <f t="shared" si="13"/>
        <v>1</v>
      </c>
    </row>
    <row r="889" spans="1:11" x14ac:dyDescent="0.3">
      <c r="A889" t="s">
        <v>897</v>
      </c>
      <c r="B889" s="1">
        <v>45514</v>
      </c>
      <c r="C889" t="s">
        <v>1241</v>
      </c>
      <c r="D889" t="s">
        <v>1730</v>
      </c>
      <c r="E889" t="s">
        <v>1991</v>
      </c>
      <c r="F889" t="s">
        <v>1999</v>
      </c>
      <c r="G889" t="s">
        <v>2000</v>
      </c>
      <c r="H889">
        <v>3</v>
      </c>
      <c r="I889">
        <v>16</v>
      </c>
      <c r="J889">
        <v>48</v>
      </c>
      <c r="K889">
        <f t="shared" si="13"/>
        <v>1</v>
      </c>
    </row>
    <row r="890" spans="1:11" x14ac:dyDescent="0.3">
      <c r="A890" t="s">
        <v>898</v>
      </c>
      <c r="B890" s="1">
        <v>45499</v>
      </c>
      <c r="C890" t="s">
        <v>1474</v>
      </c>
      <c r="D890" t="s">
        <v>1741</v>
      </c>
      <c r="E890" t="s">
        <v>1991</v>
      </c>
      <c r="F890" t="s">
        <v>1992</v>
      </c>
      <c r="G890" t="s">
        <v>1993</v>
      </c>
      <c r="H890">
        <v>1</v>
      </c>
      <c r="I890">
        <v>460</v>
      </c>
      <c r="J890">
        <v>460</v>
      </c>
      <c r="K890">
        <f t="shared" si="13"/>
        <v>1</v>
      </c>
    </row>
    <row r="891" spans="1:11" x14ac:dyDescent="0.3">
      <c r="A891" t="s">
        <v>899</v>
      </c>
      <c r="B891" s="1">
        <v>45429</v>
      </c>
      <c r="C891" t="s">
        <v>1149</v>
      </c>
      <c r="D891" t="s">
        <v>1741</v>
      </c>
      <c r="E891" t="s">
        <v>1991</v>
      </c>
      <c r="F891" t="s">
        <v>1996</v>
      </c>
      <c r="G891" t="s">
        <v>2001</v>
      </c>
      <c r="H891">
        <v>2</v>
      </c>
      <c r="I891">
        <v>222</v>
      </c>
      <c r="J891">
        <v>444</v>
      </c>
      <c r="K891">
        <f t="shared" si="13"/>
        <v>1</v>
      </c>
    </row>
    <row r="892" spans="1:11" x14ac:dyDescent="0.3">
      <c r="A892" t="s">
        <v>900</v>
      </c>
      <c r="B892" s="1">
        <v>45523</v>
      </c>
      <c r="C892" t="s">
        <v>1164</v>
      </c>
      <c r="D892" t="s">
        <v>1919</v>
      </c>
      <c r="E892" t="s">
        <v>1994</v>
      </c>
      <c r="F892" t="s">
        <v>1996</v>
      </c>
      <c r="G892" t="s">
        <v>2001</v>
      </c>
      <c r="H892">
        <v>4</v>
      </c>
      <c r="I892">
        <v>185</v>
      </c>
      <c r="J892">
        <v>740</v>
      </c>
      <c r="K892">
        <f t="shared" si="13"/>
        <v>1</v>
      </c>
    </row>
    <row r="893" spans="1:11" x14ac:dyDescent="0.3">
      <c r="A893" t="s">
        <v>901</v>
      </c>
      <c r="B893" s="1">
        <v>45455</v>
      </c>
      <c r="C893" t="s">
        <v>1244</v>
      </c>
      <c r="D893" t="s">
        <v>1930</v>
      </c>
      <c r="E893" t="s">
        <v>1994</v>
      </c>
      <c r="F893" t="s">
        <v>1996</v>
      </c>
      <c r="G893" t="s">
        <v>2004</v>
      </c>
      <c r="H893">
        <v>4</v>
      </c>
      <c r="I893">
        <v>126</v>
      </c>
      <c r="J893">
        <v>504</v>
      </c>
      <c r="K893">
        <f t="shared" si="13"/>
        <v>1</v>
      </c>
    </row>
    <row r="894" spans="1:11" x14ac:dyDescent="0.3">
      <c r="A894" t="s">
        <v>902</v>
      </c>
      <c r="B894" s="1">
        <v>45498</v>
      </c>
      <c r="C894" t="s">
        <v>1299</v>
      </c>
      <c r="D894" t="s">
        <v>1858</v>
      </c>
      <c r="E894" t="s">
        <v>1994</v>
      </c>
      <c r="F894" t="s">
        <v>1992</v>
      </c>
      <c r="G894" t="s">
        <v>1998</v>
      </c>
      <c r="H894">
        <v>5</v>
      </c>
      <c r="I894">
        <v>357</v>
      </c>
      <c r="J894">
        <v>1785</v>
      </c>
      <c r="K894">
        <f t="shared" si="13"/>
        <v>1</v>
      </c>
    </row>
    <row r="895" spans="1:11" x14ac:dyDescent="0.3">
      <c r="A895" t="s">
        <v>903</v>
      </c>
      <c r="B895" s="1">
        <v>45519</v>
      </c>
      <c r="C895" t="s">
        <v>1132</v>
      </c>
      <c r="D895" t="s">
        <v>1560</v>
      </c>
      <c r="E895" t="s">
        <v>1991</v>
      </c>
      <c r="F895" t="s">
        <v>1999</v>
      </c>
      <c r="G895" t="s">
        <v>2002</v>
      </c>
      <c r="H895">
        <v>1</v>
      </c>
      <c r="I895">
        <v>28</v>
      </c>
      <c r="J895">
        <v>28</v>
      </c>
      <c r="K895">
        <f t="shared" si="13"/>
        <v>2</v>
      </c>
    </row>
    <row r="896" spans="1:11" x14ac:dyDescent="0.3">
      <c r="A896" t="s">
        <v>904</v>
      </c>
      <c r="B896" s="1">
        <v>45469</v>
      </c>
      <c r="C896" t="s">
        <v>1498</v>
      </c>
      <c r="D896" t="s">
        <v>1876</v>
      </c>
      <c r="E896" t="s">
        <v>1991</v>
      </c>
      <c r="F896" t="s">
        <v>1992</v>
      </c>
      <c r="G896" t="s">
        <v>1993</v>
      </c>
      <c r="H896">
        <v>2</v>
      </c>
      <c r="I896">
        <v>270</v>
      </c>
      <c r="J896">
        <v>540</v>
      </c>
      <c r="K896">
        <f t="shared" si="13"/>
        <v>1</v>
      </c>
    </row>
    <row r="897" spans="1:11" x14ac:dyDescent="0.3">
      <c r="A897" t="s">
        <v>905</v>
      </c>
      <c r="B897" s="1">
        <v>45554</v>
      </c>
      <c r="C897" t="s">
        <v>1198</v>
      </c>
      <c r="D897" t="s">
        <v>1636</v>
      </c>
      <c r="E897" t="s">
        <v>1994</v>
      </c>
      <c r="F897" t="s">
        <v>1996</v>
      </c>
      <c r="G897" t="s">
        <v>1997</v>
      </c>
      <c r="H897">
        <v>4</v>
      </c>
      <c r="I897">
        <v>282</v>
      </c>
      <c r="J897">
        <v>1128</v>
      </c>
      <c r="K897">
        <f t="shared" si="13"/>
        <v>1</v>
      </c>
    </row>
    <row r="898" spans="1:11" x14ac:dyDescent="0.3">
      <c r="A898" t="s">
        <v>906</v>
      </c>
      <c r="B898" s="1">
        <v>45415</v>
      </c>
      <c r="C898" t="s">
        <v>1399</v>
      </c>
      <c r="D898" t="s">
        <v>1973</v>
      </c>
      <c r="E898" t="s">
        <v>1991</v>
      </c>
      <c r="F898" t="s">
        <v>1999</v>
      </c>
      <c r="G898" t="s">
        <v>2002</v>
      </c>
      <c r="H898">
        <v>5</v>
      </c>
      <c r="I898">
        <v>35</v>
      </c>
      <c r="J898">
        <v>175</v>
      </c>
      <c r="K898">
        <f t="shared" si="13"/>
        <v>1</v>
      </c>
    </row>
    <row r="899" spans="1:11" x14ac:dyDescent="0.3">
      <c r="A899" t="s">
        <v>907</v>
      </c>
      <c r="B899" s="1">
        <v>45551</v>
      </c>
      <c r="C899" t="s">
        <v>1348</v>
      </c>
      <c r="D899" t="s">
        <v>1849</v>
      </c>
      <c r="E899" t="s">
        <v>1991</v>
      </c>
      <c r="F899" t="s">
        <v>1999</v>
      </c>
      <c r="G899" t="s">
        <v>2002</v>
      </c>
      <c r="H899">
        <v>2</v>
      </c>
      <c r="I899">
        <v>18</v>
      </c>
      <c r="J899">
        <v>36</v>
      </c>
      <c r="K899">
        <f t="shared" ref="K899:K962" si="14">COUNTIF(C899:C1898,C899)</f>
        <v>1</v>
      </c>
    </row>
    <row r="900" spans="1:11" x14ac:dyDescent="0.3">
      <c r="A900" t="s">
        <v>908</v>
      </c>
      <c r="B900" s="1">
        <v>45292</v>
      </c>
      <c r="C900" t="s">
        <v>1329</v>
      </c>
      <c r="D900" t="s">
        <v>1799</v>
      </c>
      <c r="E900" t="s">
        <v>1994</v>
      </c>
      <c r="F900" t="s">
        <v>1999</v>
      </c>
      <c r="G900" t="s">
        <v>2003</v>
      </c>
      <c r="H900">
        <v>2</v>
      </c>
      <c r="I900">
        <v>21</v>
      </c>
      <c r="J900">
        <v>42</v>
      </c>
      <c r="K900">
        <f t="shared" si="14"/>
        <v>1</v>
      </c>
    </row>
    <row r="901" spans="1:11" x14ac:dyDescent="0.3">
      <c r="A901" t="s">
        <v>909</v>
      </c>
      <c r="B901" s="1">
        <v>45327</v>
      </c>
      <c r="C901" t="s">
        <v>1326</v>
      </c>
      <c r="D901" t="s">
        <v>1611</v>
      </c>
      <c r="E901" t="s">
        <v>1994</v>
      </c>
      <c r="F901" t="s">
        <v>1992</v>
      </c>
      <c r="G901" t="s">
        <v>1995</v>
      </c>
      <c r="H901">
        <v>5</v>
      </c>
      <c r="I901">
        <v>352</v>
      </c>
      <c r="J901">
        <v>1760</v>
      </c>
      <c r="K901">
        <f t="shared" si="14"/>
        <v>1</v>
      </c>
    </row>
    <row r="902" spans="1:11" x14ac:dyDescent="0.3">
      <c r="A902" t="s">
        <v>910</v>
      </c>
      <c r="B902" s="1">
        <v>45322</v>
      </c>
      <c r="C902" t="s">
        <v>1119</v>
      </c>
      <c r="D902" t="s">
        <v>1522</v>
      </c>
      <c r="E902" t="s">
        <v>1991</v>
      </c>
      <c r="F902" t="s">
        <v>1999</v>
      </c>
      <c r="G902" t="s">
        <v>2000</v>
      </c>
      <c r="H902">
        <v>4</v>
      </c>
      <c r="I902">
        <v>10</v>
      </c>
      <c r="J902">
        <v>40</v>
      </c>
      <c r="K902">
        <f t="shared" si="14"/>
        <v>1</v>
      </c>
    </row>
    <row r="903" spans="1:11" x14ac:dyDescent="0.3">
      <c r="A903" t="s">
        <v>911</v>
      </c>
      <c r="B903" s="1">
        <v>45544</v>
      </c>
      <c r="C903" t="s">
        <v>1219</v>
      </c>
      <c r="D903" t="s">
        <v>1705</v>
      </c>
      <c r="E903" t="s">
        <v>1991</v>
      </c>
      <c r="F903" t="s">
        <v>1996</v>
      </c>
      <c r="G903" t="s">
        <v>2004</v>
      </c>
      <c r="H903">
        <v>1</v>
      </c>
      <c r="I903">
        <v>283</v>
      </c>
      <c r="J903">
        <v>283</v>
      </c>
      <c r="K903">
        <f t="shared" si="14"/>
        <v>2</v>
      </c>
    </row>
    <row r="904" spans="1:11" x14ac:dyDescent="0.3">
      <c r="A904" t="s">
        <v>912</v>
      </c>
      <c r="B904" s="1">
        <v>45293</v>
      </c>
      <c r="C904" t="s">
        <v>1172</v>
      </c>
      <c r="D904" t="s">
        <v>1823</v>
      </c>
      <c r="E904" t="s">
        <v>1991</v>
      </c>
      <c r="F904" t="s">
        <v>1992</v>
      </c>
      <c r="G904" t="s">
        <v>1998</v>
      </c>
      <c r="H904">
        <v>4</v>
      </c>
      <c r="I904">
        <v>264</v>
      </c>
      <c r="J904">
        <v>1056</v>
      </c>
      <c r="K904">
        <f t="shared" si="14"/>
        <v>1</v>
      </c>
    </row>
    <row r="905" spans="1:11" x14ac:dyDescent="0.3">
      <c r="A905" t="s">
        <v>913</v>
      </c>
      <c r="B905" s="1">
        <v>45372</v>
      </c>
      <c r="C905" t="s">
        <v>1392</v>
      </c>
      <c r="D905" t="s">
        <v>1900</v>
      </c>
      <c r="E905" t="s">
        <v>1991</v>
      </c>
      <c r="F905" t="s">
        <v>1992</v>
      </c>
      <c r="G905" t="s">
        <v>1998</v>
      </c>
      <c r="H905">
        <v>1</v>
      </c>
      <c r="I905">
        <v>343</v>
      </c>
      <c r="J905">
        <v>343</v>
      </c>
      <c r="K905">
        <f t="shared" si="14"/>
        <v>1</v>
      </c>
    </row>
    <row r="906" spans="1:11" x14ac:dyDescent="0.3">
      <c r="A906" t="s">
        <v>914</v>
      </c>
      <c r="B906" s="1">
        <v>45401</v>
      </c>
      <c r="C906" t="s">
        <v>1219</v>
      </c>
      <c r="D906" t="s">
        <v>1666</v>
      </c>
      <c r="E906" t="s">
        <v>1991</v>
      </c>
      <c r="F906" t="s">
        <v>1992</v>
      </c>
      <c r="G906" t="s">
        <v>1993</v>
      </c>
      <c r="H906">
        <v>2</v>
      </c>
      <c r="I906">
        <v>264</v>
      </c>
      <c r="J906">
        <v>528</v>
      </c>
      <c r="K906">
        <f t="shared" si="14"/>
        <v>1</v>
      </c>
    </row>
    <row r="907" spans="1:11" x14ac:dyDescent="0.3">
      <c r="A907" t="s">
        <v>915</v>
      </c>
      <c r="B907" s="1">
        <v>45442</v>
      </c>
      <c r="C907" t="s">
        <v>1461</v>
      </c>
      <c r="D907" t="s">
        <v>1543</v>
      </c>
      <c r="E907" t="s">
        <v>1991</v>
      </c>
      <c r="F907" t="s">
        <v>1992</v>
      </c>
      <c r="G907" t="s">
        <v>1998</v>
      </c>
      <c r="H907">
        <v>1</v>
      </c>
      <c r="I907">
        <v>478</v>
      </c>
      <c r="J907">
        <v>478</v>
      </c>
      <c r="K907">
        <f t="shared" si="14"/>
        <v>1</v>
      </c>
    </row>
    <row r="908" spans="1:11" x14ac:dyDescent="0.3">
      <c r="A908" t="s">
        <v>916</v>
      </c>
      <c r="B908" s="1">
        <v>45442</v>
      </c>
      <c r="C908" t="s">
        <v>1384</v>
      </c>
      <c r="D908" t="s">
        <v>1908</v>
      </c>
      <c r="E908" t="s">
        <v>1991</v>
      </c>
      <c r="F908" t="s">
        <v>1999</v>
      </c>
      <c r="G908" t="s">
        <v>2003</v>
      </c>
      <c r="H908">
        <v>2</v>
      </c>
      <c r="I908">
        <v>23</v>
      </c>
      <c r="J908">
        <v>46</v>
      </c>
      <c r="K908">
        <f t="shared" si="14"/>
        <v>1</v>
      </c>
    </row>
    <row r="909" spans="1:11" x14ac:dyDescent="0.3">
      <c r="A909" t="s">
        <v>917</v>
      </c>
      <c r="B909" s="1">
        <v>45404</v>
      </c>
      <c r="C909" t="s">
        <v>1262</v>
      </c>
      <c r="D909" t="s">
        <v>1888</v>
      </c>
      <c r="E909" t="s">
        <v>1994</v>
      </c>
      <c r="F909" t="s">
        <v>1996</v>
      </c>
      <c r="G909" t="s">
        <v>1997</v>
      </c>
      <c r="H909">
        <v>2</v>
      </c>
      <c r="I909">
        <v>290</v>
      </c>
      <c r="J909">
        <v>580</v>
      </c>
      <c r="K909">
        <f t="shared" si="14"/>
        <v>1</v>
      </c>
    </row>
    <row r="910" spans="1:11" x14ac:dyDescent="0.3">
      <c r="A910" t="s">
        <v>918</v>
      </c>
      <c r="B910" s="1">
        <v>45507</v>
      </c>
      <c r="C910" t="s">
        <v>1245</v>
      </c>
      <c r="D910" t="s">
        <v>1825</v>
      </c>
      <c r="E910" t="s">
        <v>1991</v>
      </c>
      <c r="F910" t="s">
        <v>1996</v>
      </c>
      <c r="G910" t="s">
        <v>2001</v>
      </c>
      <c r="H910">
        <v>3</v>
      </c>
      <c r="I910">
        <v>175</v>
      </c>
      <c r="J910">
        <v>525</v>
      </c>
      <c r="K910">
        <f t="shared" si="14"/>
        <v>1</v>
      </c>
    </row>
    <row r="911" spans="1:11" x14ac:dyDescent="0.3">
      <c r="A911" t="s">
        <v>919</v>
      </c>
      <c r="B911" s="1">
        <v>45557</v>
      </c>
      <c r="C911" t="s">
        <v>1289</v>
      </c>
      <c r="D911" t="s">
        <v>1790</v>
      </c>
      <c r="E911" t="s">
        <v>1994</v>
      </c>
      <c r="F911" t="s">
        <v>1996</v>
      </c>
      <c r="G911" t="s">
        <v>2004</v>
      </c>
      <c r="H911">
        <v>5</v>
      </c>
      <c r="I911">
        <v>283</v>
      </c>
      <c r="J911">
        <v>1415</v>
      </c>
      <c r="K911">
        <f t="shared" si="14"/>
        <v>1</v>
      </c>
    </row>
    <row r="912" spans="1:11" x14ac:dyDescent="0.3">
      <c r="A912" t="s">
        <v>920</v>
      </c>
      <c r="B912" s="1">
        <v>45424</v>
      </c>
      <c r="C912" t="s">
        <v>1213</v>
      </c>
      <c r="D912" t="s">
        <v>1860</v>
      </c>
      <c r="E912" t="s">
        <v>1991</v>
      </c>
      <c r="F912" t="s">
        <v>1999</v>
      </c>
      <c r="G912" t="s">
        <v>2003</v>
      </c>
      <c r="H912">
        <v>4</v>
      </c>
      <c r="I912">
        <v>41</v>
      </c>
      <c r="J912">
        <v>164</v>
      </c>
      <c r="K912">
        <f t="shared" si="14"/>
        <v>2</v>
      </c>
    </row>
    <row r="913" spans="1:11" x14ac:dyDescent="0.3">
      <c r="A913" t="s">
        <v>921</v>
      </c>
      <c r="B913" s="1">
        <v>45345</v>
      </c>
      <c r="C913" t="s">
        <v>1400</v>
      </c>
      <c r="D913" t="s">
        <v>1969</v>
      </c>
      <c r="E913" t="s">
        <v>1991</v>
      </c>
      <c r="F913" t="s">
        <v>1992</v>
      </c>
      <c r="G913" t="s">
        <v>1998</v>
      </c>
      <c r="H913">
        <v>4</v>
      </c>
      <c r="I913">
        <v>499</v>
      </c>
      <c r="J913">
        <v>1996</v>
      </c>
      <c r="K913">
        <f t="shared" si="14"/>
        <v>1</v>
      </c>
    </row>
    <row r="914" spans="1:11" x14ac:dyDescent="0.3">
      <c r="A914" t="s">
        <v>922</v>
      </c>
      <c r="B914" s="1">
        <v>45408</v>
      </c>
      <c r="C914" t="s">
        <v>1077</v>
      </c>
      <c r="D914" t="s">
        <v>1753</v>
      </c>
      <c r="E914" t="s">
        <v>1994</v>
      </c>
      <c r="F914" t="s">
        <v>1999</v>
      </c>
      <c r="G914" t="s">
        <v>2003</v>
      </c>
      <c r="H914">
        <v>1</v>
      </c>
      <c r="I914">
        <v>45</v>
      </c>
      <c r="J914">
        <v>45</v>
      </c>
      <c r="K914">
        <f t="shared" si="14"/>
        <v>4</v>
      </c>
    </row>
    <row r="915" spans="1:11" x14ac:dyDescent="0.3">
      <c r="A915" t="s">
        <v>923</v>
      </c>
      <c r="B915" s="1">
        <v>45543</v>
      </c>
      <c r="C915" t="s">
        <v>1018</v>
      </c>
      <c r="D915" t="s">
        <v>1652</v>
      </c>
      <c r="E915" t="s">
        <v>1991</v>
      </c>
      <c r="F915" t="s">
        <v>1999</v>
      </c>
      <c r="G915" t="s">
        <v>2003</v>
      </c>
      <c r="H915">
        <v>5</v>
      </c>
      <c r="I915">
        <v>43</v>
      </c>
      <c r="J915">
        <v>215</v>
      </c>
      <c r="K915">
        <f t="shared" si="14"/>
        <v>1</v>
      </c>
    </row>
    <row r="916" spans="1:11" x14ac:dyDescent="0.3">
      <c r="A916" t="s">
        <v>924</v>
      </c>
      <c r="B916" s="1">
        <v>45309</v>
      </c>
      <c r="C916" t="s">
        <v>1457</v>
      </c>
      <c r="D916" t="s">
        <v>1832</v>
      </c>
      <c r="E916" t="s">
        <v>1991</v>
      </c>
      <c r="F916" t="s">
        <v>1996</v>
      </c>
      <c r="G916" t="s">
        <v>2004</v>
      </c>
      <c r="H916">
        <v>3</v>
      </c>
      <c r="I916">
        <v>220</v>
      </c>
      <c r="J916">
        <v>660</v>
      </c>
      <c r="K916">
        <f t="shared" si="14"/>
        <v>1</v>
      </c>
    </row>
    <row r="917" spans="1:11" x14ac:dyDescent="0.3">
      <c r="A917" t="s">
        <v>925</v>
      </c>
      <c r="B917" s="1">
        <v>45435</v>
      </c>
      <c r="C917" t="s">
        <v>1441</v>
      </c>
      <c r="D917" t="s">
        <v>1900</v>
      </c>
      <c r="E917" t="s">
        <v>1994</v>
      </c>
      <c r="F917" t="s">
        <v>1996</v>
      </c>
      <c r="G917" t="s">
        <v>2001</v>
      </c>
      <c r="H917">
        <v>1</v>
      </c>
      <c r="I917">
        <v>256</v>
      </c>
      <c r="J917">
        <v>256</v>
      </c>
      <c r="K917">
        <f t="shared" si="14"/>
        <v>1</v>
      </c>
    </row>
    <row r="918" spans="1:11" x14ac:dyDescent="0.3">
      <c r="A918" t="s">
        <v>926</v>
      </c>
      <c r="B918" s="1">
        <v>45399</v>
      </c>
      <c r="C918" t="s">
        <v>1132</v>
      </c>
      <c r="D918" t="s">
        <v>1758</v>
      </c>
      <c r="E918" t="s">
        <v>1994</v>
      </c>
      <c r="F918" t="s">
        <v>1996</v>
      </c>
      <c r="G918" t="s">
        <v>2004</v>
      </c>
      <c r="H918">
        <v>1</v>
      </c>
      <c r="I918">
        <v>170</v>
      </c>
      <c r="J918">
        <v>170</v>
      </c>
      <c r="K918">
        <f t="shared" si="14"/>
        <v>1</v>
      </c>
    </row>
    <row r="919" spans="1:11" x14ac:dyDescent="0.3">
      <c r="A919" t="s">
        <v>927</v>
      </c>
      <c r="B919" s="1">
        <v>45512</v>
      </c>
      <c r="C919" t="s">
        <v>1056</v>
      </c>
      <c r="D919" t="s">
        <v>1909</v>
      </c>
      <c r="E919" t="s">
        <v>1994</v>
      </c>
      <c r="F919" t="s">
        <v>1996</v>
      </c>
      <c r="G919" t="s">
        <v>2004</v>
      </c>
      <c r="H919">
        <v>1</v>
      </c>
      <c r="I919">
        <v>193</v>
      </c>
      <c r="J919">
        <v>193</v>
      </c>
      <c r="K919">
        <f t="shared" si="14"/>
        <v>3</v>
      </c>
    </row>
    <row r="920" spans="1:11" x14ac:dyDescent="0.3">
      <c r="A920" t="s">
        <v>928</v>
      </c>
      <c r="B920" s="1">
        <v>45310</v>
      </c>
      <c r="C920" t="s">
        <v>1054</v>
      </c>
      <c r="D920" t="s">
        <v>1885</v>
      </c>
      <c r="E920" t="s">
        <v>1991</v>
      </c>
      <c r="F920" t="s">
        <v>1992</v>
      </c>
      <c r="G920" t="s">
        <v>1995</v>
      </c>
      <c r="H920">
        <v>4</v>
      </c>
      <c r="I920">
        <v>415</v>
      </c>
      <c r="J920">
        <v>1660</v>
      </c>
      <c r="K920">
        <f t="shared" si="14"/>
        <v>1</v>
      </c>
    </row>
    <row r="921" spans="1:11" x14ac:dyDescent="0.3">
      <c r="A921" t="s">
        <v>929</v>
      </c>
      <c r="B921" s="1">
        <v>45560</v>
      </c>
      <c r="C921" t="s">
        <v>1075</v>
      </c>
      <c r="D921" t="s">
        <v>1902</v>
      </c>
      <c r="E921" t="s">
        <v>1994</v>
      </c>
      <c r="F921" t="s">
        <v>1999</v>
      </c>
      <c r="G921" t="s">
        <v>2003</v>
      </c>
      <c r="H921">
        <v>1</v>
      </c>
      <c r="I921">
        <v>10</v>
      </c>
      <c r="J921">
        <v>10</v>
      </c>
      <c r="K921">
        <f t="shared" si="14"/>
        <v>1</v>
      </c>
    </row>
    <row r="922" spans="1:11" x14ac:dyDescent="0.3">
      <c r="A922" t="s">
        <v>930</v>
      </c>
      <c r="B922" s="1">
        <v>45453</v>
      </c>
      <c r="C922" t="s">
        <v>1191</v>
      </c>
      <c r="D922" t="s">
        <v>1834</v>
      </c>
      <c r="E922" t="s">
        <v>1994</v>
      </c>
      <c r="F922" t="s">
        <v>1992</v>
      </c>
      <c r="G922" t="s">
        <v>1993</v>
      </c>
      <c r="H922">
        <v>2</v>
      </c>
      <c r="I922">
        <v>315</v>
      </c>
      <c r="J922">
        <v>630</v>
      </c>
      <c r="K922">
        <f t="shared" si="14"/>
        <v>1</v>
      </c>
    </row>
    <row r="923" spans="1:11" x14ac:dyDescent="0.3">
      <c r="A923" t="s">
        <v>931</v>
      </c>
      <c r="B923" s="1">
        <v>45556</v>
      </c>
      <c r="C923" t="s">
        <v>1120</v>
      </c>
      <c r="D923" t="s">
        <v>1686</v>
      </c>
      <c r="E923" t="s">
        <v>1991</v>
      </c>
      <c r="F923" t="s">
        <v>1999</v>
      </c>
      <c r="G923" t="s">
        <v>2000</v>
      </c>
      <c r="H923">
        <v>1</v>
      </c>
      <c r="I923">
        <v>36</v>
      </c>
      <c r="J923">
        <v>36</v>
      </c>
      <c r="K923">
        <f t="shared" si="14"/>
        <v>1</v>
      </c>
    </row>
    <row r="924" spans="1:11" x14ac:dyDescent="0.3">
      <c r="A924" t="s">
        <v>932</v>
      </c>
      <c r="B924" s="1">
        <v>45450</v>
      </c>
      <c r="C924" t="s">
        <v>1091</v>
      </c>
      <c r="D924" t="s">
        <v>1952</v>
      </c>
      <c r="E924" t="s">
        <v>1991</v>
      </c>
      <c r="F924" t="s">
        <v>1992</v>
      </c>
      <c r="G924" t="s">
        <v>1995</v>
      </c>
      <c r="H924">
        <v>1</v>
      </c>
      <c r="I924">
        <v>430</v>
      </c>
      <c r="J924">
        <v>430</v>
      </c>
      <c r="K924">
        <f t="shared" si="14"/>
        <v>1</v>
      </c>
    </row>
    <row r="925" spans="1:11" x14ac:dyDescent="0.3">
      <c r="A925" t="s">
        <v>933</v>
      </c>
      <c r="B925" s="1">
        <v>45510</v>
      </c>
      <c r="C925" t="s">
        <v>1482</v>
      </c>
      <c r="D925" t="s">
        <v>1949</v>
      </c>
      <c r="E925" t="s">
        <v>1991</v>
      </c>
      <c r="F925" t="s">
        <v>1996</v>
      </c>
      <c r="G925" t="s">
        <v>2004</v>
      </c>
      <c r="H925">
        <v>1</v>
      </c>
      <c r="I925">
        <v>199</v>
      </c>
      <c r="J925">
        <v>199</v>
      </c>
      <c r="K925">
        <f t="shared" si="14"/>
        <v>1</v>
      </c>
    </row>
    <row r="926" spans="1:11" x14ac:dyDescent="0.3">
      <c r="A926" t="s">
        <v>934</v>
      </c>
      <c r="B926" s="1">
        <v>45335</v>
      </c>
      <c r="C926" t="s">
        <v>1421</v>
      </c>
      <c r="D926" t="s">
        <v>1814</v>
      </c>
      <c r="E926" t="s">
        <v>1991</v>
      </c>
      <c r="F926" t="s">
        <v>1999</v>
      </c>
      <c r="G926" t="s">
        <v>2000</v>
      </c>
      <c r="H926">
        <v>1</v>
      </c>
      <c r="I926">
        <v>30</v>
      </c>
      <c r="J926">
        <v>30</v>
      </c>
      <c r="K926">
        <f t="shared" si="14"/>
        <v>1</v>
      </c>
    </row>
    <row r="927" spans="1:11" x14ac:dyDescent="0.3">
      <c r="A927" t="s">
        <v>935</v>
      </c>
      <c r="B927" s="1">
        <v>45308</v>
      </c>
      <c r="C927" t="s">
        <v>1153</v>
      </c>
      <c r="D927" t="s">
        <v>1859</v>
      </c>
      <c r="E927" t="s">
        <v>1991</v>
      </c>
      <c r="F927" t="s">
        <v>1992</v>
      </c>
      <c r="G927" t="s">
        <v>1993</v>
      </c>
      <c r="H927">
        <v>3</v>
      </c>
      <c r="I927">
        <v>392</v>
      </c>
      <c r="J927">
        <v>1176</v>
      </c>
      <c r="K927">
        <f t="shared" si="14"/>
        <v>1</v>
      </c>
    </row>
    <row r="928" spans="1:11" x14ac:dyDescent="0.3">
      <c r="A928" t="s">
        <v>936</v>
      </c>
      <c r="B928" s="1">
        <v>45436</v>
      </c>
      <c r="C928" t="s">
        <v>1413</v>
      </c>
      <c r="D928" t="s">
        <v>1572</v>
      </c>
      <c r="E928" t="s">
        <v>1991</v>
      </c>
      <c r="F928" t="s">
        <v>1999</v>
      </c>
      <c r="G928" t="s">
        <v>2002</v>
      </c>
      <c r="H928">
        <v>5</v>
      </c>
      <c r="I928">
        <v>34</v>
      </c>
      <c r="J928">
        <v>170</v>
      </c>
      <c r="K928">
        <f t="shared" si="14"/>
        <v>1</v>
      </c>
    </row>
    <row r="929" spans="1:11" x14ac:dyDescent="0.3">
      <c r="A929" t="s">
        <v>937</v>
      </c>
      <c r="B929" s="1">
        <v>45517</v>
      </c>
      <c r="C929" t="s">
        <v>1265</v>
      </c>
      <c r="D929" t="s">
        <v>1725</v>
      </c>
      <c r="E929" t="s">
        <v>1991</v>
      </c>
      <c r="F929" t="s">
        <v>1992</v>
      </c>
      <c r="G929" t="s">
        <v>1998</v>
      </c>
      <c r="H929">
        <v>3</v>
      </c>
      <c r="I929">
        <v>496</v>
      </c>
      <c r="J929">
        <v>1488</v>
      </c>
      <c r="K929">
        <f t="shared" si="14"/>
        <v>1</v>
      </c>
    </row>
    <row r="930" spans="1:11" x14ac:dyDescent="0.3">
      <c r="A930" t="s">
        <v>938</v>
      </c>
      <c r="B930" s="1">
        <v>45353</v>
      </c>
      <c r="C930" t="s">
        <v>1180</v>
      </c>
      <c r="D930" t="s">
        <v>1976</v>
      </c>
      <c r="E930" t="s">
        <v>1991</v>
      </c>
      <c r="F930" t="s">
        <v>1996</v>
      </c>
      <c r="G930" t="s">
        <v>2001</v>
      </c>
      <c r="H930">
        <v>3</v>
      </c>
      <c r="I930">
        <v>187</v>
      </c>
      <c r="J930">
        <v>561</v>
      </c>
      <c r="K930">
        <f t="shared" si="14"/>
        <v>1</v>
      </c>
    </row>
    <row r="931" spans="1:11" x14ac:dyDescent="0.3">
      <c r="A931" t="s">
        <v>939</v>
      </c>
      <c r="B931" s="1">
        <v>45415</v>
      </c>
      <c r="C931" t="s">
        <v>1125</v>
      </c>
      <c r="D931" t="s">
        <v>1817</v>
      </c>
      <c r="E931" t="s">
        <v>1994</v>
      </c>
      <c r="F931" t="s">
        <v>1996</v>
      </c>
      <c r="G931" t="s">
        <v>1997</v>
      </c>
      <c r="H931">
        <v>3</v>
      </c>
      <c r="I931">
        <v>186</v>
      </c>
      <c r="J931">
        <v>558</v>
      </c>
      <c r="K931">
        <f t="shared" si="14"/>
        <v>1</v>
      </c>
    </row>
    <row r="932" spans="1:11" x14ac:dyDescent="0.3">
      <c r="A932" t="s">
        <v>940</v>
      </c>
      <c r="B932" s="1">
        <v>45350</v>
      </c>
      <c r="C932" t="s">
        <v>1073</v>
      </c>
      <c r="D932" t="s">
        <v>1809</v>
      </c>
      <c r="E932" t="s">
        <v>1994</v>
      </c>
      <c r="F932" t="s">
        <v>1996</v>
      </c>
      <c r="G932" t="s">
        <v>2004</v>
      </c>
      <c r="H932">
        <v>1</v>
      </c>
      <c r="I932">
        <v>201</v>
      </c>
      <c r="J932">
        <v>201</v>
      </c>
      <c r="K932">
        <f t="shared" si="14"/>
        <v>1</v>
      </c>
    </row>
    <row r="933" spans="1:11" x14ac:dyDescent="0.3">
      <c r="A933" t="s">
        <v>941</v>
      </c>
      <c r="B933" s="1">
        <v>45484</v>
      </c>
      <c r="C933" t="s">
        <v>1435</v>
      </c>
      <c r="D933" t="s">
        <v>1812</v>
      </c>
      <c r="E933" t="s">
        <v>1991</v>
      </c>
      <c r="F933" t="s">
        <v>1996</v>
      </c>
      <c r="G933" t="s">
        <v>2001</v>
      </c>
      <c r="H933">
        <v>2</v>
      </c>
      <c r="I933">
        <v>290</v>
      </c>
      <c r="J933">
        <v>580</v>
      </c>
      <c r="K933">
        <f t="shared" si="14"/>
        <v>3</v>
      </c>
    </row>
    <row r="934" spans="1:11" x14ac:dyDescent="0.3">
      <c r="A934" t="s">
        <v>942</v>
      </c>
      <c r="B934" s="1">
        <v>45388</v>
      </c>
      <c r="C934" t="s">
        <v>1196</v>
      </c>
      <c r="D934" t="s">
        <v>1600</v>
      </c>
      <c r="E934" t="s">
        <v>1994</v>
      </c>
      <c r="F934" t="s">
        <v>1992</v>
      </c>
      <c r="G934" t="s">
        <v>1995</v>
      </c>
      <c r="H934">
        <v>1</v>
      </c>
      <c r="I934">
        <v>458</v>
      </c>
      <c r="J934">
        <v>458</v>
      </c>
      <c r="K934">
        <f t="shared" si="14"/>
        <v>1</v>
      </c>
    </row>
    <row r="935" spans="1:11" x14ac:dyDescent="0.3">
      <c r="A935" t="s">
        <v>943</v>
      </c>
      <c r="B935" s="1">
        <v>45510</v>
      </c>
      <c r="C935" t="s">
        <v>1500</v>
      </c>
      <c r="D935" t="s">
        <v>1581</v>
      </c>
      <c r="E935" t="s">
        <v>1994</v>
      </c>
      <c r="F935" t="s">
        <v>1992</v>
      </c>
      <c r="G935" t="s">
        <v>1998</v>
      </c>
      <c r="H935">
        <v>3</v>
      </c>
      <c r="I935">
        <v>225</v>
      </c>
      <c r="J935">
        <v>675</v>
      </c>
      <c r="K935">
        <f t="shared" si="14"/>
        <v>1</v>
      </c>
    </row>
    <row r="936" spans="1:11" x14ac:dyDescent="0.3">
      <c r="A936" t="s">
        <v>944</v>
      </c>
      <c r="B936" s="1">
        <v>45384</v>
      </c>
      <c r="C936" t="s">
        <v>1056</v>
      </c>
      <c r="D936" t="s">
        <v>1930</v>
      </c>
      <c r="E936" t="s">
        <v>1994</v>
      </c>
      <c r="F936" t="s">
        <v>1992</v>
      </c>
      <c r="G936" t="s">
        <v>1993</v>
      </c>
      <c r="H936">
        <v>2</v>
      </c>
      <c r="I936">
        <v>223</v>
      </c>
      <c r="J936">
        <v>446</v>
      </c>
      <c r="K936">
        <f t="shared" si="14"/>
        <v>2</v>
      </c>
    </row>
    <row r="937" spans="1:11" x14ac:dyDescent="0.3">
      <c r="A937" t="s">
        <v>945</v>
      </c>
      <c r="B937" s="1">
        <v>45518</v>
      </c>
      <c r="C937" t="s">
        <v>1395</v>
      </c>
      <c r="D937" t="s">
        <v>1929</v>
      </c>
      <c r="E937" t="s">
        <v>1994</v>
      </c>
      <c r="F937" t="s">
        <v>1996</v>
      </c>
      <c r="G937" t="s">
        <v>1997</v>
      </c>
      <c r="H937">
        <v>2</v>
      </c>
      <c r="I937">
        <v>294</v>
      </c>
      <c r="J937">
        <v>588</v>
      </c>
      <c r="K937">
        <f t="shared" si="14"/>
        <v>1</v>
      </c>
    </row>
    <row r="938" spans="1:11" x14ac:dyDescent="0.3">
      <c r="A938" t="s">
        <v>946</v>
      </c>
      <c r="B938" s="1">
        <v>45454</v>
      </c>
      <c r="C938" t="s">
        <v>1298</v>
      </c>
      <c r="D938" t="s">
        <v>1642</v>
      </c>
      <c r="E938" t="s">
        <v>1991</v>
      </c>
      <c r="F938" t="s">
        <v>1996</v>
      </c>
      <c r="G938" t="s">
        <v>2004</v>
      </c>
      <c r="H938">
        <v>4</v>
      </c>
      <c r="I938">
        <v>216</v>
      </c>
      <c r="J938">
        <v>864</v>
      </c>
      <c r="K938">
        <f t="shared" si="14"/>
        <v>2</v>
      </c>
    </row>
    <row r="939" spans="1:11" x14ac:dyDescent="0.3">
      <c r="A939" t="s">
        <v>947</v>
      </c>
      <c r="B939" s="1">
        <v>45314</v>
      </c>
      <c r="C939" t="s">
        <v>1060</v>
      </c>
      <c r="D939" t="s">
        <v>1851</v>
      </c>
      <c r="E939" t="s">
        <v>1991</v>
      </c>
      <c r="F939" t="s">
        <v>1992</v>
      </c>
      <c r="G939" t="s">
        <v>1993</v>
      </c>
      <c r="H939">
        <v>3</v>
      </c>
      <c r="I939">
        <v>273</v>
      </c>
      <c r="J939">
        <v>819</v>
      </c>
      <c r="K939">
        <f t="shared" si="14"/>
        <v>1</v>
      </c>
    </row>
    <row r="940" spans="1:11" x14ac:dyDescent="0.3">
      <c r="A940" t="s">
        <v>948</v>
      </c>
      <c r="B940" s="1">
        <v>45454</v>
      </c>
      <c r="C940" t="s">
        <v>1116</v>
      </c>
      <c r="D940" t="s">
        <v>1572</v>
      </c>
      <c r="E940" t="s">
        <v>1994</v>
      </c>
      <c r="F940" t="s">
        <v>1996</v>
      </c>
      <c r="G940" t="s">
        <v>2001</v>
      </c>
      <c r="H940">
        <v>5</v>
      </c>
      <c r="I940">
        <v>267</v>
      </c>
      <c r="J940">
        <v>1335</v>
      </c>
      <c r="K940">
        <f t="shared" si="14"/>
        <v>1</v>
      </c>
    </row>
    <row r="941" spans="1:11" x14ac:dyDescent="0.3">
      <c r="A941" t="s">
        <v>949</v>
      </c>
      <c r="B941" s="1">
        <v>45481</v>
      </c>
      <c r="C941" t="s">
        <v>1209</v>
      </c>
      <c r="D941" t="s">
        <v>1898</v>
      </c>
      <c r="E941" t="s">
        <v>1994</v>
      </c>
      <c r="F941" t="s">
        <v>1999</v>
      </c>
      <c r="G941" t="s">
        <v>2002</v>
      </c>
      <c r="H941">
        <v>4</v>
      </c>
      <c r="I941">
        <v>16</v>
      </c>
      <c r="J941">
        <v>64</v>
      </c>
      <c r="K941">
        <f t="shared" si="14"/>
        <v>1</v>
      </c>
    </row>
    <row r="942" spans="1:11" x14ac:dyDescent="0.3">
      <c r="A942" t="s">
        <v>950</v>
      </c>
      <c r="B942" s="1">
        <v>45559</v>
      </c>
      <c r="C942" t="s">
        <v>1042</v>
      </c>
      <c r="D942" t="s">
        <v>1628</v>
      </c>
      <c r="E942" t="s">
        <v>1994</v>
      </c>
      <c r="F942" t="s">
        <v>1999</v>
      </c>
      <c r="G942" t="s">
        <v>2000</v>
      </c>
      <c r="H942">
        <v>3</v>
      </c>
      <c r="I942">
        <v>49</v>
      </c>
      <c r="J942">
        <v>147</v>
      </c>
      <c r="K942">
        <f t="shared" si="14"/>
        <v>1</v>
      </c>
    </row>
    <row r="943" spans="1:11" x14ac:dyDescent="0.3">
      <c r="A943" t="s">
        <v>951</v>
      </c>
      <c r="B943" s="1">
        <v>45325</v>
      </c>
      <c r="C943" t="s">
        <v>1158</v>
      </c>
      <c r="D943" t="s">
        <v>1729</v>
      </c>
      <c r="E943" t="s">
        <v>1991</v>
      </c>
      <c r="F943" t="s">
        <v>1992</v>
      </c>
      <c r="G943" t="s">
        <v>1998</v>
      </c>
      <c r="H943">
        <v>1</v>
      </c>
      <c r="I943">
        <v>320</v>
      </c>
      <c r="J943">
        <v>320</v>
      </c>
      <c r="K943">
        <f t="shared" si="14"/>
        <v>1</v>
      </c>
    </row>
    <row r="944" spans="1:11" x14ac:dyDescent="0.3">
      <c r="A944" t="s">
        <v>952</v>
      </c>
      <c r="B944" s="1">
        <v>45468</v>
      </c>
      <c r="C944" t="s">
        <v>1376</v>
      </c>
      <c r="D944" t="s">
        <v>1667</v>
      </c>
      <c r="E944" t="s">
        <v>1991</v>
      </c>
      <c r="F944" t="s">
        <v>1992</v>
      </c>
      <c r="G944" t="s">
        <v>1995</v>
      </c>
      <c r="H944">
        <v>1</v>
      </c>
      <c r="I944">
        <v>372</v>
      </c>
      <c r="J944">
        <v>372</v>
      </c>
      <c r="K944">
        <f t="shared" si="14"/>
        <v>1</v>
      </c>
    </row>
    <row r="945" spans="1:11" x14ac:dyDescent="0.3">
      <c r="A945" t="s">
        <v>953</v>
      </c>
      <c r="B945" s="1">
        <v>45316</v>
      </c>
      <c r="C945" t="s">
        <v>1243</v>
      </c>
      <c r="D945" t="s">
        <v>1646</v>
      </c>
      <c r="E945" t="s">
        <v>1991</v>
      </c>
      <c r="F945" t="s">
        <v>1996</v>
      </c>
      <c r="G945" t="s">
        <v>1997</v>
      </c>
      <c r="H945">
        <v>3</v>
      </c>
      <c r="I945">
        <v>141</v>
      </c>
      <c r="J945">
        <v>423</v>
      </c>
      <c r="K945">
        <f t="shared" si="14"/>
        <v>2</v>
      </c>
    </row>
    <row r="946" spans="1:11" x14ac:dyDescent="0.3">
      <c r="A946" t="s">
        <v>954</v>
      </c>
      <c r="B946" s="1">
        <v>45474</v>
      </c>
      <c r="C946" t="s">
        <v>1115</v>
      </c>
      <c r="D946" t="s">
        <v>1980</v>
      </c>
      <c r="E946" t="s">
        <v>1994</v>
      </c>
      <c r="F946" t="s">
        <v>1996</v>
      </c>
      <c r="G946" t="s">
        <v>2001</v>
      </c>
      <c r="H946">
        <v>5</v>
      </c>
      <c r="I946">
        <v>218</v>
      </c>
      <c r="J946">
        <v>1090</v>
      </c>
      <c r="K946">
        <f t="shared" si="14"/>
        <v>1</v>
      </c>
    </row>
    <row r="947" spans="1:11" x14ac:dyDescent="0.3">
      <c r="A947" t="s">
        <v>955</v>
      </c>
      <c r="B947" s="1">
        <v>45549</v>
      </c>
      <c r="C947" t="s">
        <v>1359</v>
      </c>
      <c r="D947" t="s">
        <v>1613</v>
      </c>
      <c r="E947" t="s">
        <v>1991</v>
      </c>
      <c r="F947" t="s">
        <v>1992</v>
      </c>
      <c r="G947" t="s">
        <v>1993</v>
      </c>
      <c r="H947">
        <v>2</v>
      </c>
      <c r="I947">
        <v>200</v>
      </c>
      <c r="J947">
        <v>400</v>
      </c>
      <c r="K947">
        <f t="shared" si="14"/>
        <v>1</v>
      </c>
    </row>
    <row r="948" spans="1:11" x14ac:dyDescent="0.3">
      <c r="A948" t="s">
        <v>956</v>
      </c>
      <c r="B948" s="1">
        <v>45325</v>
      </c>
      <c r="C948" t="s">
        <v>1254</v>
      </c>
      <c r="D948" t="s">
        <v>1899</v>
      </c>
      <c r="E948" t="s">
        <v>1991</v>
      </c>
      <c r="F948" t="s">
        <v>1996</v>
      </c>
      <c r="G948" t="s">
        <v>2004</v>
      </c>
      <c r="H948">
        <v>4</v>
      </c>
      <c r="I948">
        <v>291</v>
      </c>
      <c r="J948">
        <v>1164</v>
      </c>
      <c r="K948">
        <f t="shared" si="14"/>
        <v>1</v>
      </c>
    </row>
    <row r="949" spans="1:11" x14ac:dyDescent="0.3">
      <c r="A949" t="s">
        <v>957</v>
      </c>
      <c r="B949" s="1">
        <v>45433</v>
      </c>
      <c r="C949" t="s">
        <v>1435</v>
      </c>
      <c r="D949" t="s">
        <v>1741</v>
      </c>
      <c r="E949" t="s">
        <v>1991</v>
      </c>
      <c r="F949" t="s">
        <v>1999</v>
      </c>
      <c r="G949" t="s">
        <v>2000</v>
      </c>
      <c r="H949">
        <v>3</v>
      </c>
      <c r="I949">
        <v>29</v>
      </c>
      <c r="J949">
        <v>87</v>
      </c>
      <c r="K949">
        <f t="shared" si="14"/>
        <v>2</v>
      </c>
    </row>
    <row r="950" spans="1:11" x14ac:dyDescent="0.3">
      <c r="A950" t="s">
        <v>958</v>
      </c>
      <c r="B950" s="1">
        <v>45308</v>
      </c>
      <c r="C950" t="s">
        <v>1502</v>
      </c>
      <c r="D950" t="s">
        <v>1552</v>
      </c>
      <c r="E950" t="s">
        <v>1991</v>
      </c>
      <c r="F950" t="s">
        <v>1992</v>
      </c>
      <c r="G950" t="s">
        <v>1998</v>
      </c>
      <c r="H950">
        <v>4</v>
      </c>
      <c r="I950">
        <v>438</v>
      </c>
      <c r="J950">
        <v>1752</v>
      </c>
      <c r="K950">
        <f t="shared" si="14"/>
        <v>2</v>
      </c>
    </row>
    <row r="951" spans="1:11" x14ac:dyDescent="0.3">
      <c r="A951" t="s">
        <v>959</v>
      </c>
      <c r="B951" s="1">
        <v>45450</v>
      </c>
      <c r="C951" t="s">
        <v>1185</v>
      </c>
      <c r="D951" t="s">
        <v>1666</v>
      </c>
      <c r="E951" t="s">
        <v>1994</v>
      </c>
      <c r="F951" t="s">
        <v>1999</v>
      </c>
      <c r="G951" t="s">
        <v>2002</v>
      </c>
      <c r="H951">
        <v>1</v>
      </c>
      <c r="I951">
        <v>43</v>
      </c>
      <c r="J951">
        <v>43</v>
      </c>
      <c r="K951">
        <f t="shared" si="14"/>
        <v>1</v>
      </c>
    </row>
    <row r="952" spans="1:11" x14ac:dyDescent="0.3">
      <c r="A952" t="s">
        <v>960</v>
      </c>
      <c r="B952" s="1">
        <v>45298</v>
      </c>
      <c r="C952" t="s">
        <v>1331</v>
      </c>
      <c r="D952" t="s">
        <v>1583</v>
      </c>
      <c r="E952" t="s">
        <v>1991</v>
      </c>
      <c r="F952" t="s">
        <v>1996</v>
      </c>
      <c r="G952" t="s">
        <v>2001</v>
      </c>
      <c r="H952">
        <v>5</v>
      </c>
      <c r="I952">
        <v>198</v>
      </c>
      <c r="J952">
        <v>990</v>
      </c>
      <c r="K952">
        <f t="shared" si="14"/>
        <v>1</v>
      </c>
    </row>
    <row r="953" spans="1:11" x14ac:dyDescent="0.3">
      <c r="A953" t="s">
        <v>961</v>
      </c>
      <c r="B953" s="1">
        <v>45495</v>
      </c>
      <c r="C953" t="s">
        <v>1433</v>
      </c>
      <c r="D953" t="s">
        <v>1731</v>
      </c>
      <c r="E953" t="s">
        <v>1991</v>
      </c>
      <c r="F953" t="s">
        <v>1999</v>
      </c>
      <c r="G953" t="s">
        <v>2002</v>
      </c>
      <c r="H953">
        <v>5</v>
      </c>
      <c r="I953">
        <v>45</v>
      </c>
      <c r="J953">
        <v>225</v>
      </c>
      <c r="K953">
        <f t="shared" si="14"/>
        <v>1</v>
      </c>
    </row>
    <row r="954" spans="1:11" x14ac:dyDescent="0.3">
      <c r="A954" t="s">
        <v>962</v>
      </c>
      <c r="B954" s="1">
        <v>45413</v>
      </c>
      <c r="C954" t="s">
        <v>1041</v>
      </c>
      <c r="D954" t="s">
        <v>1536</v>
      </c>
      <c r="E954" t="s">
        <v>1991</v>
      </c>
      <c r="F954" t="s">
        <v>1996</v>
      </c>
      <c r="G954" t="s">
        <v>2004</v>
      </c>
      <c r="H954">
        <v>3</v>
      </c>
      <c r="I954">
        <v>127</v>
      </c>
      <c r="J954">
        <v>381</v>
      </c>
      <c r="K954">
        <f t="shared" si="14"/>
        <v>1</v>
      </c>
    </row>
    <row r="955" spans="1:11" x14ac:dyDescent="0.3">
      <c r="A955" t="s">
        <v>963</v>
      </c>
      <c r="B955" s="1">
        <v>45443</v>
      </c>
      <c r="C955" t="s">
        <v>1317</v>
      </c>
      <c r="D955" t="s">
        <v>1679</v>
      </c>
      <c r="E955" t="s">
        <v>1991</v>
      </c>
      <c r="F955" t="s">
        <v>1999</v>
      </c>
      <c r="G955" t="s">
        <v>2000</v>
      </c>
      <c r="H955">
        <v>2</v>
      </c>
      <c r="I955">
        <v>11</v>
      </c>
      <c r="J955">
        <v>22</v>
      </c>
      <c r="K955">
        <f t="shared" si="14"/>
        <v>1</v>
      </c>
    </row>
    <row r="956" spans="1:11" x14ac:dyDescent="0.3">
      <c r="A956" t="s">
        <v>964</v>
      </c>
      <c r="B956" s="1">
        <v>45363</v>
      </c>
      <c r="C956" t="s">
        <v>1256</v>
      </c>
      <c r="D956" t="s">
        <v>1922</v>
      </c>
      <c r="E956" t="s">
        <v>1994</v>
      </c>
      <c r="F956" t="s">
        <v>1999</v>
      </c>
      <c r="G956" t="s">
        <v>2003</v>
      </c>
      <c r="H956">
        <v>3</v>
      </c>
      <c r="I956">
        <v>46</v>
      </c>
      <c r="J956">
        <v>138</v>
      </c>
      <c r="K956">
        <f t="shared" si="14"/>
        <v>1</v>
      </c>
    </row>
    <row r="957" spans="1:11" x14ac:dyDescent="0.3">
      <c r="A957" t="s">
        <v>965</v>
      </c>
      <c r="B957" s="1">
        <v>45435</v>
      </c>
      <c r="C957" t="s">
        <v>1124</v>
      </c>
      <c r="D957" t="s">
        <v>1808</v>
      </c>
      <c r="E957" t="s">
        <v>1991</v>
      </c>
      <c r="F957" t="s">
        <v>1992</v>
      </c>
      <c r="G957" t="s">
        <v>1998</v>
      </c>
      <c r="H957">
        <v>4</v>
      </c>
      <c r="I957">
        <v>361</v>
      </c>
      <c r="J957">
        <v>1444</v>
      </c>
      <c r="K957">
        <f t="shared" si="14"/>
        <v>1</v>
      </c>
    </row>
    <row r="958" spans="1:11" x14ac:dyDescent="0.3">
      <c r="A958" t="s">
        <v>966</v>
      </c>
      <c r="B958" s="1">
        <v>45465</v>
      </c>
      <c r="C958" t="s">
        <v>1206</v>
      </c>
      <c r="D958" t="s">
        <v>1594</v>
      </c>
      <c r="E958" t="s">
        <v>1991</v>
      </c>
      <c r="F958" t="s">
        <v>1999</v>
      </c>
      <c r="G958" t="s">
        <v>2003</v>
      </c>
      <c r="H958">
        <v>3</v>
      </c>
      <c r="I958">
        <v>32</v>
      </c>
      <c r="J958">
        <v>96</v>
      </c>
      <c r="K958">
        <f t="shared" si="14"/>
        <v>1</v>
      </c>
    </row>
    <row r="959" spans="1:11" x14ac:dyDescent="0.3">
      <c r="A959" t="s">
        <v>967</v>
      </c>
      <c r="B959" s="1">
        <v>45486</v>
      </c>
      <c r="C959" t="s">
        <v>1335</v>
      </c>
      <c r="D959" t="s">
        <v>1743</v>
      </c>
      <c r="E959" t="s">
        <v>1994</v>
      </c>
      <c r="F959" t="s">
        <v>1992</v>
      </c>
      <c r="G959" t="s">
        <v>1993</v>
      </c>
      <c r="H959">
        <v>2</v>
      </c>
      <c r="I959">
        <v>231</v>
      </c>
      <c r="J959">
        <v>462</v>
      </c>
      <c r="K959">
        <f t="shared" si="14"/>
        <v>1</v>
      </c>
    </row>
    <row r="960" spans="1:11" x14ac:dyDescent="0.3">
      <c r="A960" t="s">
        <v>968</v>
      </c>
      <c r="B960" s="1">
        <v>45373</v>
      </c>
      <c r="C960" t="s">
        <v>1240</v>
      </c>
      <c r="D960" t="s">
        <v>1962</v>
      </c>
      <c r="E960" t="s">
        <v>1994</v>
      </c>
      <c r="F960" t="s">
        <v>1999</v>
      </c>
      <c r="G960" t="s">
        <v>2003</v>
      </c>
      <c r="H960">
        <v>4</v>
      </c>
      <c r="I960">
        <v>40</v>
      </c>
      <c r="J960">
        <v>160</v>
      </c>
      <c r="K960">
        <f t="shared" si="14"/>
        <v>1</v>
      </c>
    </row>
    <row r="961" spans="1:11" x14ac:dyDescent="0.3">
      <c r="A961" t="s">
        <v>969</v>
      </c>
      <c r="B961" s="1">
        <v>45563</v>
      </c>
      <c r="C961" t="s">
        <v>1434</v>
      </c>
      <c r="D961" t="s">
        <v>1802</v>
      </c>
      <c r="E961" t="s">
        <v>1991</v>
      </c>
      <c r="F961" t="s">
        <v>1992</v>
      </c>
      <c r="G961" t="s">
        <v>1998</v>
      </c>
      <c r="H961">
        <v>1</v>
      </c>
      <c r="I961">
        <v>311</v>
      </c>
      <c r="J961">
        <v>311</v>
      </c>
      <c r="K961">
        <f t="shared" si="14"/>
        <v>1</v>
      </c>
    </row>
    <row r="962" spans="1:11" x14ac:dyDescent="0.3">
      <c r="A962" t="s">
        <v>970</v>
      </c>
      <c r="B962" s="1">
        <v>45442</v>
      </c>
      <c r="C962" t="s">
        <v>1243</v>
      </c>
      <c r="D962" t="s">
        <v>1522</v>
      </c>
      <c r="E962" t="s">
        <v>1994</v>
      </c>
      <c r="F962" t="s">
        <v>1999</v>
      </c>
      <c r="G962" t="s">
        <v>2000</v>
      </c>
      <c r="H962">
        <v>1</v>
      </c>
      <c r="I962">
        <v>22</v>
      </c>
      <c r="J962">
        <v>22</v>
      </c>
      <c r="K962">
        <f t="shared" si="14"/>
        <v>1</v>
      </c>
    </row>
    <row r="963" spans="1:11" x14ac:dyDescent="0.3">
      <c r="A963" t="s">
        <v>971</v>
      </c>
      <c r="B963" s="1">
        <v>45319</v>
      </c>
      <c r="C963" t="s">
        <v>1213</v>
      </c>
      <c r="D963" t="s">
        <v>1962</v>
      </c>
      <c r="E963" t="s">
        <v>1994</v>
      </c>
      <c r="F963" t="s">
        <v>1999</v>
      </c>
      <c r="G963" t="s">
        <v>2002</v>
      </c>
      <c r="H963">
        <v>3</v>
      </c>
      <c r="I963">
        <v>45</v>
      </c>
      <c r="J963">
        <v>135</v>
      </c>
      <c r="K963">
        <f t="shared" ref="K963:K1001" si="15">COUNTIF(C963:C1962,C963)</f>
        <v>1</v>
      </c>
    </row>
    <row r="964" spans="1:11" x14ac:dyDescent="0.3">
      <c r="A964" t="s">
        <v>972</v>
      </c>
      <c r="B964" s="1">
        <v>45459</v>
      </c>
      <c r="C964" t="s">
        <v>1306</v>
      </c>
      <c r="D964" t="s">
        <v>1628</v>
      </c>
      <c r="E964" t="s">
        <v>1991</v>
      </c>
      <c r="F964" t="s">
        <v>1992</v>
      </c>
      <c r="G964" t="s">
        <v>1995</v>
      </c>
      <c r="H964">
        <v>4</v>
      </c>
      <c r="I964">
        <v>360</v>
      </c>
      <c r="J964">
        <v>1440</v>
      </c>
      <c r="K964">
        <f t="shared" si="15"/>
        <v>1</v>
      </c>
    </row>
    <row r="965" spans="1:11" x14ac:dyDescent="0.3">
      <c r="A965" t="s">
        <v>973</v>
      </c>
      <c r="B965" s="1">
        <v>45383</v>
      </c>
      <c r="C965" t="s">
        <v>1458</v>
      </c>
      <c r="D965" t="s">
        <v>1896</v>
      </c>
      <c r="E965" t="s">
        <v>1994</v>
      </c>
      <c r="F965" t="s">
        <v>1992</v>
      </c>
      <c r="G965" t="s">
        <v>1993</v>
      </c>
      <c r="H965">
        <v>1</v>
      </c>
      <c r="I965">
        <v>416</v>
      </c>
      <c r="J965">
        <v>416</v>
      </c>
      <c r="K965">
        <f t="shared" si="15"/>
        <v>1</v>
      </c>
    </row>
    <row r="966" spans="1:11" x14ac:dyDescent="0.3">
      <c r="A966" t="s">
        <v>974</v>
      </c>
      <c r="B966" s="1">
        <v>45482</v>
      </c>
      <c r="C966" t="s">
        <v>1020</v>
      </c>
      <c r="D966" t="s">
        <v>1895</v>
      </c>
      <c r="E966" t="s">
        <v>1991</v>
      </c>
      <c r="F966" t="s">
        <v>1999</v>
      </c>
      <c r="G966" t="s">
        <v>2002</v>
      </c>
      <c r="H966">
        <v>5</v>
      </c>
      <c r="I966">
        <v>14</v>
      </c>
      <c r="J966">
        <v>70</v>
      </c>
      <c r="K966">
        <f t="shared" si="15"/>
        <v>1</v>
      </c>
    </row>
    <row r="967" spans="1:11" x14ac:dyDescent="0.3">
      <c r="A967" t="s">
        <v>975</v>
      </c>
      <c r="B967" s="1">
        <v>45361</v>
      </c>
      <c r="C967" t="s">
        <v>1464</v>
      </c>
      <c r="D967" t="s">
        <v>1918</v>
      </c>
      <c r="E967" t="s">
        <v>1991</v>
      </c>
      <c r="F967" t="s">
        <v>1999</v>
      </c>
      <c r="G967" t="s">
        <v>2002</v>
      </c>
      <c r="H967">
        <v>3</v>
      </c>
      <c r="I967">
        <v>39</v>
      </c>
      <c r="J967">
        <v>117</v>
      </c>
      <c r="K967">
        <f t="shared" si="15"/>
        <v>1</v>
      </c>
    </row>
    <row r="968" spans="1:11" x14ac:dyDescent="0.3">
      <c r="A968" t="s">
        <v>976</v>
      </c>
      <c r="B968" s="1">
        <v>45454</v>
      </c>
      <c r="C968" t="s">
        <v>1221</v>
      </c>
      <c r="D968" t="s">
        <v>1619</v>
      </c>
      <c r="E968" t="s">
        <v>1991</v>
      </c>
      <c r="F968" t="s">
        <v>1999</v>
      </c>
      <c r="G968" t="s">
        <v>2003</v>
      </c>
      <c r="H968">
        <v>3</v>
      </c>
      <c r="I968">
        <v>41</v>
      </c>
      <c r="J968">
        <v>123</v>
      </c>
      <c r="K968">
        <f t="shared" si="15"/>
        <v>1</v>
      </c>
    </row>
    <row r="969" spans="1:11" x14ac:dyDescent="0.3">
      <c r="A969" t="s">
        <v>977</v>
      </c>
      <c r="B969" s="1">
        <v>45551</v>
      </c>
      <c r="C969" t="s">
        <v>1465</v>
      </c>
      <c r="D969" t="s">
        <v>1966</v>
      </c>
      <c r="E969" t="s">
        <v>1994</v>
      </c>
      <c r="F969" t="s">
        <v>1992</v>
      </c>
      <c r="G969" t="s">
        <v>1993</v>
      </c>
      <c r="H969">
        <v>4</v>
      </c>
      <c r="I969">
        <v>391</v>
      </c>
      <c r="J969">
        <v>1564</v>
      </c>
      <c r="K969">
        <f t="shared" si="15"/>
        <v>1</v>
      </c>
    </row>
    <row r="970" spans="1:11" x14ac:dyDescent="0.3">
      <c r="A970" t="s">
        <v>978</v>
      </c>
      <c r="B970" s="1">
        <v>45357</v>
      </c>
      <c r="C970" t="s">
        <v>1443</v>
      </c>
      <c r="D970" t="s">
        <v>1543</v>
      </c>
      <c r="E970" t="s">
        <v>1991</v>
      </c>
      <c r="F970" t="s">
        <v>1992</v>
      </c>
      <c r="G970" t="s">
        <v>1995</v>
      </c>
      <c r="H970">
        <v>2</v>
      </c>
      <c r="I970">
        <v>267</v>
      </c>
      <c r="J970">
        <v>534</v>
      </c>
      <c r="K970">
        <f t="shared" si="15"/>
        <v>1</v>
      </c>
    </row>
    <row r="971" spans="1:11" x14ac:dyDescent="0.3">
      <c r="A971" t="s">
        <v>979</v>
      </c>
      <c r="B971" s="1">
        <v>45531</v>
      </c>
      <c r="C971" t="s">
        <v>1471</v>
      </c>
      <c r="D971" t="s">
        <v>1948</v>
      </c>
      <c r="E971" t="s">
        <v>1991</v>
      </c>
      <c r="F971" t="s">
        <v>1996</v>
      </c>
      <c r="G971" t="s">
        <v>2001</v>
      </c>
      <c r="H971">
        <v>1</v>
      </c>
      <c r="I971">
        <v>216</v>
      </c>
      <c r="J971">
        <v>216</v>
      </c>
      <c r="K971">
        <f t="shared" si="15"/>
        <v>1</v>
      </c>
    </row>
    <row r="972" spans="1:11" x14ac:dyDescent="0.3">
      <c r="A972" t="s">
        <v>980</v>
      </c>
      <c r="B972" s="1">
        <v>45439</v>
      </c>
      <c r="C972" t="s">
        <v>1014</v>
      </c>
      <c r="D972" t="s">
        <v>1860</v>
      </c>
      <c r="E972" t="s">
        <v>1994</v>
      </c>
      <c r="F972" t="s">
        <v>1996</v>
      </c>
      <c r="G972" t="s">
        <v>2001</v>
      </c>
      <c r="H972">
        <v>4</v>
      </c>
      <c r="I972">
        <v>218</v>
      </c>
      <c r="J972">
        <v>872</v>
      </c>
      <c r="K972">
        <f t="shared" si="15"/>
        <v>1</v>
      </c>
    </row>
    <row r="973" spans="1:11" x14ac:dyDescent="0.3">
      <c r="A973" t="s">
        <v>981</v>
      </c>
      <c r="B973" s="1">
        <v>45401</v>
      </c>
      <c r="C973" t="s">
        <v>1479</v>
      </c>
      <c r="D973" t="s">
        <v>1687</v>
      </c>
      <c r="E973" t="s">
        <v>1991</v>
      </c>
      <c r="F973" t="s">
        <v>1999</v>
      </c>
      <c r="G973" t="s">
        <v>2003</v>
      </c>
      <c r="H973">
        <v>5</v>
      </c>
      <c r="I973">
        <v>13</v>
      </c>
      <c r="J973">
        <v>65</v>
      </c>
      <c r="K973">
        <f t="shared" si="15"/>
        <v>1</v>
      </c>
    </row>
    <row r="974" spans="1:11" x14ac:dyDescent="0.3">
      <c r="A974" t="s">
        <v>982</v>
      </c>
      <c r="B974" s="1">
        <v>45313</v>
      </c>
      <c r="C974" t="s">
        <v>1298</v>
      </c>
      <c r="D974" t="s">
        <v>1746</v>
      </c>
      <c r="E974" t="s">
        <v>1991</v>
      </c>
      <c r="F974" t="s">
        <v>1992</v>
      </c>
      <c r="G974" t="s">
        <v>1993</v>
      </c>
      <c r="H974">
        <v>5</v>
      </c>
      <c r="I974">
        <v>481</v>
      </c>
      <c r="J974">
        <v>2405</v>
      </c>
      <c r="K974">
        <f t="shared" si="15"/>
        <v>1</v>
      </c>
    </row>
    <row r="975" spans="1:11" x14ac:dyDescent="0.3">
      <c r="A975" t="s">
        <v>983</v>
      </c>
      <c r="B975" s="1">
        <v>45410</v>
      </c>
      <c r="C975" t="s">
        <v>1171</v>
      </c>
      <c r="D975" t="s">
        <v>1667</v>
      </c>
      <c r="E975" t="s">
        <v>1994</v>
      </c>
      <c r="F975" t="s">
        <v>1999</v>
      </c>
      <c r="G975" t="s">
        <v>2000</v>
      </c>
      <c r="H975">
        <v>3</v>
      </c>
      <c r="I975">
        <v>24</v>
      </c>
      <c r="J975">
        <v>72</v>
      </c>
      <c r="K975">
        <f t="shared" si="15"/>
        <v>1</v>
      </c>
    </row>
    <row r="976" spans="1:11" x14ac:dyDescent="0.3">
      <c r="A976" t="s">
        <v>984</v>
      </c>
      <c r="B976" s="1">
        <v>45501</v>
      </c>
      <c r="C976" t="s">
        <v>1067</v>
      </c>
      <c r="D976" t="s">
        <v>1735</v>
      </c>
      <c r="E976" t="s">
        <v>1991</v>
      </c>
      <c r="F976" t="s">
        <v>1992</v>
      </c>
      <c r="G976" t="s">
        <v>1998</v>
      </c>
      <c r="H976">
        <v>1</v>
      </c>
      <c r="I976">
        <v>416</v>
      </c>
      <c r="J976">
        <v>416</v>
      </c>
      <c r="K976">
        <f t="shared" si="15"/>
        <v>1</v>
      </c>
    </row>
    <row r="977" spans="1:11" x14ac:dyDescent="0.3">
      <c r="A977" t="s">
        <v>985</v>
      </c>
      <c r="B977" s="1">
        <v>45354</v>
      </c>
      <c r="C977" t="s">
        <v>1502</v>
      </c>
      <c r="D977" t="s">
        <v>1815</v>
      </c>
      <c r="E977" t="s">
        <v>1991</v>
      </c>
      <c r="F977" t="s">
        <v>1996</v>
      </c>
      <c r="G977" t="s">
        <v>2004</v>
      </c>
      <c r="H977">
        <v>3</v>
      </c>
      <c r="I977">
        <v>190</v>
      </c>
      <c r="J977">
        <v>570</v>
      </c>
      <c r="K977">
        <f t="shared" si="15"/>
        <v>1</v>
      </c>
    </row>
    <row r="978" spans="1:11" x14ac:dyDescent="0.3">
      <c r="A978" t="s">
        <v>986</v>
      </c>
      <c r="B978" s="1">
        <v>45480</v>
      </c>
      <c r="C978" t="s">
        <v>1393</v>
      </c>
      <c r="D978" t="s">
        <v>1763</v>
      </c>
      <c r="E978" t="s">
        <v>1991</v>
      </c>
      <c r="F978" t="s">
        <v>1992</v>
      </c>
      <c r="G978" t="s">
        <v>1995</v>
      </c>
      <c r="H978">
        <v>3</v>
      </c>
      <c r="I978">
        <v>338</v>
      </c>
      <c r="J978">
        <v>1014</v>
      </c>
      <c r="K978">
        <f t="shared" si="15"/>
        <v>1</v>
      </c>
    </row>
    <row r="979" spans="1:11" x14ac:dyDescent="0.3">
      <c r="A979" t="s">
        <v>987</v>
      </c>
      <c r="B979" s="1">
        <v>45561</v>
      </c>
      <c r="C979" t="s">
        <v>1077</v>
      </c>
      <c r="D979" t="s">
        <v>1756</v>
      </c>
      <c r="E979" t="s">
        <v>1991</v>
      </c>
      <c r="F979" t="s">
        <v>1992</v>
      </c>
      <c r="G979" t="s">
        <v>1998</v>
      </c>
      <c r="H979">
        <v>2</v>
      </c>
      <c r="I979">
        <v>496</v>
      </c>
      <c r="J979">
        <v>992</v>
      </c>
      <c r="K979">
        <f t="shared" si="15"/>
        <v>3</v>
      </c>
    </row>
    <row r="980" spans="1:11" x14ac:dyDescent="0.3">
      <c r="A980" t="s">
        <v>988</v>
      </c>
      <c r="B980" s="1">
        <v>45502</v>
      </c>
      <c r="C980" t="s">
        <v>1094</v>
      </c>
      <c r="D980" t="s">
        <v>1835</v>
      </c>
      <c r="E980" t="s">
        <v>1994</v>
      </c>
      <c r="F980" t="s">
        <v>1999</v>
      </c>
      <c r="G980" t="s">
        <v>2003</v>
      </c>
      <c r="H980">
        <v>5</v>
      </c>
      <c r="I980">
        <v>45</v>
      </c>
      <c r="J980">
        <v>225</v>
      </c>
      <c r="K980">
        <f t="shared" si="15"/>
        <v>3</v>
      </c>
    </row>
    <row r="981" spans="1:11" x14ac:dyDescent="0.3">
      <c r="A981" t="s">
        <v>989</v>
      </c>
      <c r="B981" s="1">
        <v>45397</v>
      </c>
      <c r="C981" t="s">
        <v>1094</v>
      </c>
      <c r="D981" t="s">
        <v>1519</v>
      </c>
      <c r="E981" t="s">
        <v>1991</v>
      </c>
      <c r="F981" t="s">
        <v>1996</v>
      </c>
      <c r="G981" t="s">
        <v>2001</v>
      </c>
      <c r="H981">
        <v>3</v>
      </c>
      <c r="I981">
        <v>182</v>
      </c>
      <c r="J981">
        <v>546</v>
      </c>
      <c r="K981">
        <f t="shared" si="15"/>
        <v>2</v>
      </c>
    </row>
    <row r="982" spans="1:11" x14ac:dyDescent="0.3">
      <c r="A982" t="s">
        <v>990</v>
      </c>
      <c r="B982" s="1">
        <v>45343</v>
      </c>
      <c r="C982" t="s">
        <v>1402</v>
      </c>
      <c r="D982" t="s">
        <v>1510</v>
      </c>
      <c r="E982" t="s">
        <v>1994</v>
      </c>
      <c r="F982" t="s">
        <v>1999</v>
      </c>
      <c r="G982" t="s">
        <v>2000</v>
      </c>
      <c r="H982">
        <v>2</v>
      </c>
      <c r="I982">
        <v>40</v>
      </c>
      <c r="J982">
        <v>80</v>
      </c>
      <c r="K982">
        <f t="shared" si="15"/>
        <v>1</v>
      </c>
    </row>
    <row r="983" spans="1:11" x14ac:dyDescent="0.3">
      <c r="A983" t="s">
        <v>991</v>
      </c>
      <c r="B983" s="1">
        <v>45536</v>
      </c>
      <c r="C983" t="s">
        <v>1096</v>
      </c>
      <c r="D983" t="s">
        <v>1808</v>
      </c>
      <c r="E983" t="s">
        <v>1991</v>
      </c>
      <c r="F983" t="s">
        <v>1999</v>
      </c>
      <c r="G983" t="s">
        <v>2000</v>
      </c>
      <c r="H983">
        <v>3</v>
      </c>
      <c r="I983">
        <v>39</v>
      </c>
      <c r="J983">
        <v>117</v>
      </c>
      <c r="K983">
        <f t="shared" si="15"/>
        <v>1</v>
      </c>
    </row>
    <row r="984" spans="1:11" x14ac:dyDescent="0.3">
      <c r="A984" t="s">
        <v>992</v>
      </c>
      <c r="B984" s="1">
        <v>45392</v>
      </c>
      <c r="C984" t="s">
        <v>1097</v>
      </c>
      <c r="D984" t="s">
        <v>1973</v>
      </c>
      <c r="E984" t="s">
        <v>1994</v>
      </c>
      <c r="F984" t="s">
        <v>1999</v>
      </c>
      <c r="G984" t="s">
        <v>2002</v>
      </c>
      <c r="H984">
        <v>2</v>
      </c>
      <c r="I984">
        <v>16</v>
      </c>
      <c r="J984">
        <v>32</v>
      </c>
      <c r="K984">
        <f t="shared" si="15"/>
        <v>1</v>
      </c>
    </row>
    <row r="985" spans="1:11" x14ac:dyDescent="0.3">
      <c r="A985" t="s">
        <v>993</v>
      </c>
      <c r="B985" s="1">
        <v>45310</v>
      </c>
      <c r="C985" t="s">
        <v>1017</v>
      </c>
      <c r="D985" t="s">
        <v>1891</v>
      </c>
      <c r="E985" t="s">
        <v>1991</v>
      </c>
      <c r="F985" t="s">
        <v>1999</v>
      </c>
      <c r="G985" t="s">
        <v>2002</v>
      </c>
      <c r="H985">
        <v>1</v>
      </c>
      <c r="I985">
        <v>50</v>
      </c>
      <c r="J985">
        <v>50</v>
      </c>
      <c r="K985">
        <f t="shared" si="15"/>
        <v>1</v>
      </c>
    </row>
    <row r="986" spans="1:11" x14ac:dyDescent="0.3">
      <c r="A986" t="s">
        <v>994</v>
      </c>
      <c r="B986" s="1">
        <v>45377</v>
      </c>
      <c r="C986" t="s">
        <v>1261</v>
      </c>
      <c r="D986" t="s">
        <v>1581</v>
      </c>
      <c r="E986" t="s">
        <v>1994</v>
      </c>
      <c r="F986" t="s">
        <v>1992</v>
      </c>
      <c r="G986" t="s">
        <v>1998</v>
      </c>
      <c r="H986">
        <v>1</v>
      </c>
      <c r="I986">
        <v>452</v>
      </c>
      <c r="J986">
        <v>452</v>
      </c>
      <c r="K986">
        <f t="shared" si="15"/>
        <v>1</v>
      </c>
    </row>
    <row r="987" spans="1:11" x14ac:dyDescent="0.3">
      <c r="A987" t="s">
        <v>995</v>
      </c>
      <c r="B987" s="1">
        <v>45454</v>
      </c>
      <c r="C987" t="s">
        <v>1012</v>
      </c>
      <c r="D987" t="s">
        <v>1640</v>
      </c>
      <c r="E987" t="s">
        <v>1994</v>
      </c>
      <c r="F987" t="s">
        <v>1996</v>
      </c>
      <c r="G987" t="s">
        <v>2004</v>
      </c>
      <c r="H987">
        <v>1</v>
      </c>
      <c r="I987">
        <v>279</v>
      </c>
      <c r="J987">
        <v>279</v>
      </c>
      <c r="K987">
        <f t="shared" si="15"/>
        <v>1</v>
      </c>
    </row>
    <row r="988" spans="1:11" x14ac:dyDescent="0.3">
      <c r="A988" t="s">
        <v>996</v>
      </c>
      <c r="B988" s="1">
        <v>45414</v>
      </c>
      <c r="C988" t="s">
        <v>1077</v>
      </c>
      <c r="D988" t="s">
        <v>1759</v>
      </c>
      <c r="E988" t="s">
        <v>1994</v>
      </c>
      <c r="F988" t="s">
        <v>1996</v>
      </c>
      <c r="G988" t="s">
        <v>2004</v>
      </c>
      <c r="H988">
        <v>2</v>
      </c>
      <c r="I988">
        <v>211</v>
      </c>
      <c r="J988">
        <v>422</v>
      </c>
      <c r="K988">
        <f t="shared" si="15"/>
        <v>2</v>
      </c>
    </row>
    <row r="989" spans="1:11" x14ac:dyDescent="0.3">
      <c r="A989" t="s">
        <v>997</v>
      </c>
      <c r="B989" s="1">
        <v>45327</v>
      </c>
      <c r="C989" t="s">
        <v>1070</v>
      </c>
      <c r="D989" t="s">
        <v>1911</v>
      </c>
      <c r="E989" t="s">
        <v>1991</v>
      </c>
      <c r="F989" t="s">
        <v>1996</v>
      </c>
      <c r="G989" t="s">
        <v>2001</v>
      </c>
      <c r="H989">
        <v>3</v>
      </c>
      <c r="I989">
        <v>217</v>
      </c>
      <c r="J989">
        <v>651</v>
      </c>
      <c r="K989">
        <f t="shared" si="15"/>
        <v>1</v>
      </c>
    </row>
    <row r="990" spans="1:11" x14ac:dyDescent="0.3">
      <c r="A990" t="s">
        <v>998</v>
      </c>
      <c r="B990" s="1">
        <v>45327</v>
      </c>
      <c r="C990" t="s">
        <v>1077</v>
      </c>
      <c r="D990" t="s">
        <v>1788</v>
      </c>
      <c r="E990" t="s">
        <v>1994</v>
      </c>
      <c r="F990" t="s">
        <v>1996</v>
      </c>
      <c r="G990" t="s">
        <v>2004</v>
      </c>
      <c r="H990">
        <v>2</v>
      </c>
      <c r="I990">
        <v>203</v>
      </c>
      <c r="J990">
        <v>406</v>
      </c>
      <c r="K990">
        <f t="shared" si="15"/>
        <v>1</v>
      </c>
    </row>
    <row r="991" spans="1:11" x14ac:dyDescent="0.3">
      <c r="A991" t="s">
        <v>999</v>
      </c>
      <c r="B991" s="1">
        <v>45402</v>
      </c>
      <c r="C991" t="s">
        <v>1435</v>
      </c>
      <c r="D991" t="s">
        <v>1770</v>
      </c>
      <c r="E991" t="s">
        <v>1991</v>
      </c>
      <c r="F991" t="s">
        <v>1992</v>
      </c>
      <c r="G991" t="s">
        <v>1995</v>
      </c>
      <c r="H991">
        <v>5</v>
      </c>
      <c r="I991">
        <v>348</v>
      </c>
      <c r="J991">
        <v>1740</v>
      </c>
      <c r="K991">
        <f t="shared" si="15"/>
        <v>1</v>
      </c>
    </row>
    <row r="992" spans="1:11" x14ac:dyDescent="0.3">
      <c r="A992" t="s">
        <v>1000</v>
      </c>
      <c r="B992" s="1">
        <v>45381</v>
      </c>
      <c r="C992" t="s">
        <v>1389</v>
      </c>
      <c r="D992" t="s">
        <v>1515</v>
      </c>
      <c r="E992" t="s">
        <v>1994</v>
      </c>
      <c r="F992" t="s">
        <v>1999</v>
      </c>
      <c r="G992" t="s">
        <v>2003</v>
      </c>
      <c r="H992">
        <v>1</v>
      </c>
      <c r="I992">
        <v>31</v>
      </c>
      <c r="J992">
        <v>31</v>
      </c>
      <c r="K992">
        <f t="shared" si="15"/>
        <v>1</v>
      </c>
    </row>
    <row r="993" spans="1:11" x14ac:dyDescent="0.3">
      <c r="A993" t="s">
        <v>1001</v>
      </c>
      <c r="B993" s="1">
        <v>45544</v>
      </c>
      <c r="C993" t="s">
        <v>1367</v>
      </c>
      <c r="D993" t="s">
        <v>1618</v>
      </c>
      <c r="E993" t="s">
        <v>1991</v>
      </c>
      <c r="F993" t="s">
        <v>1996</v>
      </c>
      <c r="G993" t="s">
        <v>1997</v>
      </c>
      <c r="H993">
        <v>5</v>
      </c>
      <c r="I993">
        <v>251</v>
      </c>
      <c r="J993">
        <v>1255</v>
      </c>
      <c r="K993">
        <f t="shared" si="15"/>
        <v>1</v>
      </c>
    </row>
    <row r="994" spans="1:11" x14ac:dyDescent="0.3">
      <c r="A994" t="s">
        <v>1002</v>
      </c>
      <c r="B994" s="1">
        <v>45449</v>
      </c>
      <c r="C994" t="s">
        <v>1163</v>
      </c>
      <c r="D994" t="s">
        <v>1901</v>
      </c>
      <c r="E994" t="s">
        <v>1991</v>
      </c>
      <c r="F994" t="s">
        <v>1992</v>
      </c>
      <c r="G994" t="s">
        <v>1998</v>
      </c>
      <c r="H994">
        <v>5</v>
      </c>
      <c r="I994">
        <v>272</v>
      </c>
      <c r="J994">
        <v>1360</v>
      </c>
      <c r="K994">
        <f t="shared" si="15"/>
        <v>1</v>
      </c>
    </row>
    <row r="995" spans="1:11" x14ac:dyDescent="0.3">
      <c r="A995" t="s">
        <v>1003</v>
      </c>
      <c r="B995" s="1">
        <v>45423</v>
      </c>
      <c r="C995" t="s">
        <v>1177</v>
      </c>
      <c r="D995" t="s">
        <v>1614</v>
      </c>
      <c r="E995" t="s">
        <v>1991</v>
      </c>
      <c r="F995" t="s">
        <v>1999</v>
      </c>
      <c r="G995" t="s">
        <v>2003</v>
      </c>
      <c r="H995">
        <v>1</v>
      </c>
      <c r="I995">
        <v>12</v>
      </c>
      <c r="J995">
        <v>12</v>
      </c>
      <c r="K995">
        <f t="shared" si="15"/>
        <v>1</v>
      </c>
    </row>
    <row r="996" spans="1:11" x14ac:dyDescent="0.3">
      <c r="A996" t="s">
        <v>1004</v>
      </c>
      <c r="B996" s="1">
        <v>45348</v>
      </c>
      <c r="C996" t="s">
        <v>1074</v>
      </c>
      <c r="D996" t="s">
        <v>1833</v>
      </c>
      <c r="E996" t="s">
        <v>1994</v>
      </c>
      <c r="F996" t="s">
        <v>1992</v>
      </c>
      <c r="G996" t="s">
        <v>1998</v>
      </c>
      <c r="H996">
        <v>3</v>
      </c>
      <c r="I996">
        <v>435</v>
      </c>
      <c r="J996">
        <v>1305</v>
      </c>
      <c r="K996">
        <f t="shared" si="15"/>
        <v>1</v>
      </c>
    </row>
    <row r="997" spans="1:11" x14ac:dyDescent="0.3">
      <c r="A997" t="s">
        <v>1005</v>
      </c>
      <c r="B997" s="1">
        <v>45451</v>
      </c>
      <c r="C997" t="s">
        <v>1055</v>
      </c>
      <c r="D997" t="s">
        <v>1533</v>
      </c>
      <c r="E997" t="s">
        <v>1994</v>
      </c>
      <c r="F997" t="s">
        <v>1992</v>
      </c>
      <c r="G997" t="s">
        <v>1993</v>
      </c>
      <c r="H997">
        <v>2</v>
      </c>
      <c r="I997">
        <v>333</v>
      </c>
      <c r="J997">
        <v>666</v>
      </c>
      <c r="K997">
        <f t="shared" si="15"/>
        <v>1</v>
      </c>
    </row>
    <row r="998" spans="1:11" x14ac:dyDescent="0.3">
      <c r="A998" t="s">
        <v>1006</v>
      </c>
      <c r="B998" s="1">
        <v>45515</v>
      </c>
      <c r="C998" t="s">
        <v>1056</v>
      </c>
      <c r="D998" t="s">
        <v>1766</v>
      </c>
      <c r="E998" t="s">
        <v>1994</v>
      </c>
      <c r="F998" t="s">
        <v>1992</v>
      </c>
      <c r="G998" t="s">
        <v>1993</v>
      </c>
      <c r="H998">
        <v>2</v>
      </c>
      <c r="I998">
        <v>202</v>
      </c>
      <c r="J998">
        <v>404</v>
      </c>
      <c r="K998">
        <f t="shared" si="15"/>
        <v>1</v>
      </c>
    </row>
    <row r="999" spans="1:11" x14ac:dyDescent="0.3">
      <c r="A999" t="s">
        <v>1007</v>
      </c>
      <c r="B999" s="1">
        <v>45498</v>
      </c>
      <c r="C999" t="s">
        <v>1203</v>
      </c>
      <c r="D999" t="s">
        <v>1813</v>
      </c>
      <c r="E999" t="s">
        <v>1994</v>
      </c>
      <c r="F999" t="s">
        <v>1999</v>
      </c>
      <c r="G999" t="s">
        <v>2003</v>
      </c>
      <c r="H999">
        <v>3</v>
      </c>
      <c r="I999">
        <v>29</v>
      </c>
      <c r="J999">
        <v>87</v>
      </c>
      <c r="K999">
        <f t="shared" si="15"/>
        <v>1</v>
      </c>
    </row>
    <row r="1000" spans="1:11" x14ac:dyDescent="0.3">
      <c r="A1000" t="s">
        <v>1008</v>
      </c>
      <c r="B1000" s="1">
        <v>45440</v>
      </c>
      <c r="C1000" t="s">
        <v>1094</v>
      </c>
      <c r="D1000" t="s">
        <v>1960</v>
      </c>
      <c r="E1000" t="s">
        <v>1991</v>
      </c>
      <c r="F1000" t="s">
        <v>1999</v>
      </c>
      <c r="G1000" t="s">
        <v>2003</v>
      </c>
      <c r="H1000">
        <v>1</v>
      </c>
      <c r="I1000">
        <v>37</v>
      </c>
      <c r="J1000">
        <v>37</v>
      </c>
      <c r="K1000">
        <f t="shared" si="15"/>
        <v>1</v>
      </c>
    </row>
    <row r="1001" spans="1:11" x14ac:dyDescent="0.3">
      <c r="A1001" t="s">
        <v>1009</v>
      </c>
      <c r="B1001" s="1">
        <v>45319</v>
      </c>
      <c r="C1001" t="s">
        <v>1487</v>
      </c>
      <c r="D1001" t="s">
        <v>1656</v>
      </c>
      <c r="E1001" t="s">
        <v>1994</v>
      </c>
      <c r="F1001" t="s">
        <v>1999</v>
      </c>
      <c r="G1001" t="s">
        <v>2002</v>
      </c>
      <c r="H1001">
        <v>2</v>
      </c>
      <c r="I1001">
        <v>37</v>
      </c>
      <c r="J1001">
        <v>74</v>
      </c>
      <c r="K1001">
        <f t="shared" si="15"/>
        <v>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38C55-3497-42D2-A195-3A2123A31A61}">
  <dimension ref="A1:H11"/>
  <sheetViews>
    <sheetView tabSelected="1" workbookViewId="0">
      <selection activeCell="P20" sqref="P20"/>
    </sheetView>
  </sheetViews>
  <sheetFormatPr defaultRowHeight="14.4" x14ac:dyDescent="0.3"/>
  <cols>
    <col min="1" max="1" width="18.109375" bestFit="1" customWidth="1"/>
    <col min="2" max="2" width="16.88671875" bestFit="1" customWidth="1"/>
    <col min="3" max="3" width="23.109375" bestFit="1" customWidth="1"/>
    <col min="4" max="4" width="18" bestFit="1" customWidth="1"/>
    <col min="5" max="5" width="16.88671875" bestFit="1" customWidth="1"/>
    <col min="6" max="6" width="15.21875" bestFit="1" customWidth="1"/>
    <col min="7" max="7" width="12.5546875" bestFit="1" customWidth="1"/>
    <col min="8" max="8" width="16.88671875" bestFit="1" customWidth="1"/>
  </cols>
  <sheetData>
    <row r="1" spans="1:8" x14ac:dyDescent="0.3">
      <c r="A1" t="s">
        <v>1990</v>
      </c>
      <c r="B1" s="2" t="s">
        <v>2005</v>
      </c>
      <c r="C1" t="s">
        <v>2006</v>
      </c>
      <c r="D1" t="s">
        <v>2007</v>
      </c>
      <c r="E1" t="s">
        <v>2008</v>
      </c>
      <c r="F1" t="s">
        <v>2010</v>
      </c>
    </row>
    <row r="2" spans="1:8" x14ac:dyDescent="0.3">
      <c r="A2" s="2">
        <f>SUM(Orders!J2:J1001)</f>
        <v>594986</v>
      </c>
      <c r="B2">
        <v>1000</v>
      </c>
      <c r="C2" s="2">
        <f>A2/B2</f>
        <v>594.98599999999999</v>
      </c>
      <c r="D2">
        <f>COUNTA(_xlfn.UNIQUE(Orders!C2:C1001))</f>
        <v>501</v>
      </c>
      <c r="E2">
        <f>COUNTIF(Orders!K2:K1001,"&gt;1")</f>
        <v>499</v>
      </c>
      <c r="F2" s="3">
        <f>E2/D2*100</f>
        <v>99.600798403193608</v>
      </c>
    </row>
    <row r="5" spans="1:8" x14ac:dyDescent="0.3">
      <c r="A5" s="4" t="s">
        <v>2013</v>
      </c>
      <c r="B5" t="s">
        <v>2012</v>
      </c>
      <c r="D5" s="4" t="s">
        <v>2014</v>
      </c>
      <c r="E5" t="s">
        <v>2012</v>
      </c>
      <c r="G5" s="4" t="s">
        <v>2015</v>
      </c>
      <c r="H5" t="s">
        <v>2012</v>
      </c>
    </row>
    <row r="6" spans="1:8" x14ac:dyDescent="0.3">
      <c r="A6" s="5" t="s">
        <v>1999</v>
      </c>
      <c r="B6" s="6">
        <v>30008</v>
      </c>
      <c r="D6" s="5" t="s">
        <v>1991</v>
      </c>
      <c r="E6" s="6">
        <v>312714</v>
      </c>
      <c r="G6" s="5" t="s">
        <v>1995</v>
      </c>
      <c r="H6" s="6">
        <v>141154</v>
      </c>
    </row>
    <row r="7" spans="1:8" x14ac:dyDescent="0.3">
      <c r="A7" s="5" t="s">
        <v>1992</v>
      </c>
      <c r="B7" s="6">
        <v>359997</v>
      </c>
      <c r="D7" s="5" t="s">
        <v>1994</v>
      </c>
      <c r="E7" s="6">
        <v>282272</v>
      </c>
      <c r="G7" s="5" t="s">
        <v>1998</v>
      </c>
      <c r="H7" s="6">
        <v>114051</v>
      </c>
    </row>
    <row r="8" spans="1:8" x14ac:dyDescent="0.3">
      <c r="A8" s="5" t="s">
        <v>1996</v>
      </c>
      <c r="B8" s="6">
        <v>204981</v>
      </c>
      <c r="D8" s="5" t="s">
        <v>2011</v>
      </c>
      <c r="E8" s="6">
        <v>594986</v>
      </c>
      <c r="G8" s="5" t="s">
        <v>1993</v>
      </c>
      <c r="H8" s="6">
        <v>104792</v>
      </c>
    </row>
    <row r="9" spans="1:8" x14ac:dyDescent="0.3">
      <c r="A9" s="5" t="s">
        <v>2011</v>
      </c>
      <c r="B9" s="6">
        <v>594986</v>
      </c>
      <c r="G9" s="5" t="s">
        <v>2001</v>
      </c>
      <c r="H9" s="6">
        <v>74774</v>
      </c>
    </row>
    <row r="10" spans="1:8" x14ac:dyDescent="0.3">
      <c r="G10" s="5" t="s">
        <v>2004</v>
      </c>
      <c r="H10" s="6">
        <v>70291</v>
      </c>
    </row>
    <row r="11" spans="1:8" x14ac:dyDescent="0.3">
      <c r="G11" s="5" t="s">
        <v>2011</v>
      </c>
      <c r="H11" s="6">
        <v>505062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Day12_Analysis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HITESH</dc:creator>
  <cp:lastModifiedBy>Hitesh Padhiary</cp:lastModifiedBy>
  <dcterms:created xsi:type="dcterms:W3CDTF">2015-06-05T18:17:20Z</dcterms:created>
  <dcterms:modified xsi:type="dcterms:W3CDTF">2025-05-26T16:52:17Z</dcterms:modified>
</cp:coreProperties>
</file>